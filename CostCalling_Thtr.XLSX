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Gloriana\Dropbox\Publicaciones\Publicaciones en progreso\6_Gasto energético Thyroptera\Analysis R\Energetics of calling in Thyroptera\"/>
    </mc:Choice>
  </mc:AlternateContent>
  <xr:revisionPtr revIDLastSave="0" documentId="13_ncr:1_{F49455A8-B77D-43AD-8EED-238CE09EBE81}" xr6:coauthVersionLast="46" xr6:coauthVersionMax="46" xr10:uidLastSave="{00000000-0000-0000-0000-000000000000}"/>
  <bookViews>
    <workbookView xWindow="1305" yWindow="135" windowWidth="21120" windowHeight="1278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W3" i="1"/>
  <c r="X3" i="1"/>
  <c r="Y3" i="1"/>
  <c r="Z3" i="1"/>
  <c r="AA3" i="1"/>
  <c r="AB3" i="1"/>
  <c r="W4" i="1"/>
  <c r="X4" i="1"/>
  <c r="Y4" i="1"/>
  <c r="Z4" i="1"/>
  <c r="AA4" i="1"/>
  <c r="AB4" i="1"/>
  <c r="W5" i="1"/>
  <c r="X5" i="1"/>
  <c r="Y5" i="1"/>
  <c r="Z5" i="1"/>
  <c r="AA5" i="1"/>
  <c r="AB5" i="1"/>
  <c r="W6" i="1"/>
  <c r="X6" i="1"/>
  <c r="Y6" i="1"/>
  <c r="Z6" i="1"/>
  <c r="AA6" i="1"/>
  <c r="AB6" i="1"/>
  <c r="W7" i="1"/>
  <c r="X7" i="1"/>
  <c r="Y7" i="1"/>
  <c r="Z7" i="1"/>
  <c r="AA7" i="1"/>
  <c r="AB7" i="1"/>
  <c r="W8" i="1"/>
  <c r="X8" i="1"/>
  <c r="Y8" i="1"/>
  <c r="Z8" i="1"/>
  <c r="AA8" i="1"/>
  <c r="AB8" i="1"/>
  <c r="W9" i="1"/>
  <c r="X9" i="1"/>
  <c r="Y9" i="1"/>
  <c r="Z9" i="1"/>
  <c r="AA9" i="1"/>
  <c r="AB9" i="1"/>
  <c r="W10" i="1"/>
  <c r="X10" i="1"/>
  <c r="Y10" i="1"/>
  <c r="Z10" i="1"/>
  <c r="AA10" i="1"/>
  <c r="AB10" i="1"/>
  <c r="W11" i="1"/>
  <c r="X11" i="1"/>
  <c r="Y11" i="1"/>
  <c r="Z11" i="1"/>
  <c r="AA11" i="1"/>
  <c r="AB11" i="1"/>
  <c r="W12" i="1"/>
  <c r="X12" i="1"/>
  <c r="Y12" i="1"/>
  <c r="Z12" i="1"/>
  <c r="AA12" i="1"/>
  <c r="AB12" i="1"/>
  <c r="W13" i="1"/>
  <c r="X13" i="1"/>
  <c r="Y13" i="1"/>
  <c r="Z13" i="1"/>
  <c r="AA13" i="1"/>
  <c r="AB13" i="1"/>
  <c r="W14" i="1"/>
  <c r="X14" i="1"/>
  <c r="Y14" i="1"/>
  <c r="Z14" i="1"/>
  <c r="AA14" i="1"/>
  <c r="AB14" i="1"/>
  <c r="W15" i="1"/>
  <c r="X15" i="1"/>
  <c r="Y15" i="1"/>
  <c r="Z15" i="1"/>
  <c r="AA15" i="1"/>
  <c r="AB15" i="1"/>
  <c r="W16" i="1"/>
  <c r="X16" i="1"/>
  <c r="Y16" i="1"/>
  <c r="Z16" i="1"/>
  <c r="AA16" i="1"/>
  <c r="AB16" i="1"/>
  <c r="W17" i="1"/>
  <c r="X17" i="1"/>
  <c r="Y17" i="1"/>
  <c r="Z17" i="1"/>
  <c r="AA17" i="1"/>
  <c r="AB17" i="1"/>
  <c r="W18" i="1"/>
  <c r="X18" i="1"/>
  <c r="Y18" i="1"/>
  <c r="Z18" i="1"/>
  <c r="AA18" i="1"/>
  <c r="AB18" i="1"/>
  <c r="W19" i="1"/>
  <c r="X19" i="1"/>
  <c r="Y19" i="1"/>
  <c r="Z19" i="1"/>
  <c r="AA19" i="1"/>
  <c r="AB19" i="1"/>
  <c r="W20" i="1"/>
  <c r="X20" i="1"/>
  <c r="Y20" i="1"/>
  <c r="Z20" i="1"/>
  <c r="AA20" i="1"/>
  <c r="AB20" i="1"/>
  <c r="W21" i="1"/>
  <c r="X21" i="1"/>
  <c r="Y21" i="1"/>
  <c r="Z21" i="1"/>
  <c r="AA21" i="1"/>
  <c r="AB21" i="1"/>
  <c r="W22" i="1"/>
  <c r="X22" i="1"/>
  <c r="Y22" i="1"/>
  <c r="Z22" i="1"/>
  <c r="AA22" i="1"/>
  <c r="AB22" i="1"/>
  <c r="W23" i="1"/>
  <c r="X23" i="1"/>
  <c r="Y23" i="1"/>
  <c r="Z23" i="1"/>
  <c r="AA23" i="1"/>
  <c r="AB23" i="1"/>
  <c r="W24" i="1"/>
  <c r="X24" i="1"/>
  <c r="Y24" i="1"/>
  <c r="Z24" i="1"/>
  <c r="AA24" i="1"/>
  <c r="AB24" i="1"/>
  <c r="W25" i="1"/>
  <c r="X25" i="1"/>
  <c r="Y25" i="1"/>
  <c r="Z25" i="1"/>
  <c r="AA25" i="1"/>
  <c r="AB25" i="1"/>
  <c r="W26" i="1"/>
  <c r="X26" i="1"/>
  <c r="Y26" i="1"/>
  <c r="Z26" i="1"/>
  <c r="AA26" i="1"/>
  <c r="AB26" i="1"/>
  <c r="W27" i="1"/>
  <c r="X27" i="1"/>
  <c r="Y27" i="1"/>
  <c r="Z27" i="1"/>
  <c r="AA27" i="1"/>
  <c r="AB27" i="1"/>
  <c r="W28" i="1"/>
  <c r="X28" i="1"/>
  <c r="Y28" i="1"/>
  <c r="Z28" i="1"/>
  <c r="AA28" i="1"/>
  <c r="AB28" i="1"/>
  <c r="W29" i="1"/>
  <c r="X29" i="1"/>
  <c r="Y29" i="1"/>
  <c r="Z29" i="1"/>
  <c r="AA29" i="1"/>
  <c r="AB29" i="1"/>
  <c r="W30" i="1"/>
  <c r="X30" i="1"/>
  <c r="Y30" i="1"/>
  <c r="Z30" i="1"/>
  <c r="AA30" i="1"/>
  <c r="AB30" i="1"/>
  <c r="W31" i="1"/>
  <c r="X31" i="1"/>
  <c r="Y31" i="1"/>
  <c r="Z31" i="1"/>
  <c r="AA31" i="1"/>
  <c r="AB31" i="1"/>
  <c r="W32" i="1"/>
  <c r="X32" i="1"/>
  <c r="Y32" i="1"/>
  <c r="Z32" i="1"/>
  <c r="AA32" i="1"/>
  <c r="AB32" i="1"/>
  <c r="W33" i="1"/>
  <c r="X33" i="1"/>
  <c r="Y33" i="1"/>
  <c r="Z33" i="1"/>
  <c r="AA33" i="1"/>
  <c r="AB33" i="1"/>
  <c r="W34" i="1"/>
  <c r="X34" i="1"/>
  <c r="Y34" i="1"/>
  <c r="Z34" i="1"/>
  <c r="AA34" i="1"/>
  <c r="AB34" i="1"/>
  <c r="W35" i="1"/>
  <c r="X35" i="1"/>
  <c r="Y35" i="1"/>
  <c r="Z35" i="1"/>
  <c r="AA35" i="1"/>
  <c r="AB35" i="1"/>
  <c r="W36" i="1"/>
  <c r="X36" i="1"/>
  <c r="Y36" i="1"/>
  <c r="Z36" i="1"/>
  <c r="AA36" i="1"/>
  <c r="AB36" i="1"/>
  <c r="AB2" i="1"/>
  <c r="AA2" i="1"/>
  <c r="Z2" i="1"/>
  <c r="Y2" i="1"/>
  <c r="X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2" i="1"/>
</calcChain>
</file>

<file path=xl/sharedStrings.xml><?xml version="1.0" encoding="utf-8"?>
<sst xmlns="http://schemas.openxmlformats.org/spreadsheetml/2006/main" count="176" uniqueCount="41">
  <si>
    <t>ID</t>
  </si>
  <si>
    <t>Sex</t>
  </si>
  <si>
    <t>Age</t>
  </si>
  <si>
    <t>Mass</t>
  </si>
  <si>
    <t>Group</t>
  </si>
  <si>
    <t>Mov_ws</t>
  </si>
  <si>
    <t>Mov_wos</t>
  </si>
  <si>
    <t>Male</t>
  </si>
  <si>
    <t>Female</t>
  </si>
  <si>
    <t>Adult</t>
  </si>
  <si>
    <t>Subadult</t>
  </si>
  <si>
    <t>Response_t</t>
  </si>
  <si>
    <t>Response_n</t>
  </si>
  <si>
    <t>Vocal_response</t>
  </si>
  <si>
    <t>Echo_t</t>
  </si>
  <si>
    <t>Echo_n</t>
  </si>
  <si>
    <t>Other_t</t>
  </si>
  <si>
    <t>Other_n</t>
  </si>
  <si>
    <t>Distress_t</t>
  </si>
  <si>
    <t>Distress_n</t>
  </si>
  <si>
    <t>Time_vocal</t>
  </si>
  <si>
    <t>mlh_wsound</t>
  </si>
  <si>
    <t>KJ_wsound</t>
  </si>
  <si>
    <t>mlh_silent</t>
  </si>
  <si>
    <t>KJ_silent</t>
  </si>
  <si>
    <t>Eedifference_mlh</t>
  </si>
  <si>
    <t>Eedifference_kJ</t>
  </si>
  <si>
    <t>Non-vocal</t>
  </si>
  <si>
    <t>Vocal</t>
  </si>
  <si>
    <t>TV_Resp</t>
  </si>
  <si>
    <t>TV_Echo</t>
  </si>
  <si>
    <t>TV_Other</t>
  </si>
  <si>
    <t>TV_Distress</t>
  </si>
  <si>
    <t>TV_RespEcho</t>
  </si>
  <si>
    <t>TV_RespOther</t>
  </si>
  <si>
    <t>TV_RespDistress</t>
  </si>
  <si>
    <t>TV_EchoOther</t>
  </si>
  <si>
    <t>TV_EchoDistress</t>
  </si>
  <si>
    <t>TV_OtherDistress</t>
  </si>
  <si>
    <t>Inst_increase</t>
  </si>
  <si>
    <t>Fold_increase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</si>
</sst>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tabSelected="1" topLeftCell="W1" workbookViewId="0">
      <selection activeCell="AE2" sqref="AE2"/>
    </sheetView>
  </sheetViews>
  <sheetFormatPr baseColWidth="10" defaultColWidth="11.42578125" defaultRowHeight="12.75" x14ac:dyDescent="0.2"/>
  <cols>
    <col min="9" max="10" width="11.42578125" customWidth="1"/>
    <col min="12" max="12" width="11.42578125" customWidth="1"/>
    <col min="14" max="14" width="11.42578125" customWidth="1"/>
    <col min="16" max="22" width="11.42578125" customWidth="1"/>
    <col min="23" max="23" width="12.85546875" bestFit="1" customWidth="1"/>
    <col min="24" max="24" width="13.140625" bestFit="1" customWidth="1"/>
    <col min="25" max="25" width="15.42578125" bestFit="1" customWidth="1"/>
    <col min="26" max="26" width="13.140625" bestFit="1" customWidth="1"/>
    <col min="27" max="27" width="15.42578125" bestFit="1" customWidth="1"/>
    <col min="28" max="28" width="15.7109375" bestFit="1" customWidth="1"/>
    <col min="33" max="33" width="15.140625" bestFit="1" customWidth="1"/>
    <col min="34" max="34" width="14" bestFit="1" customWidth="1"/>
    <col min="35" max="35" width="14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40</v>
      </c>
      <c r="AJ1" t="s">
        <v>39</v>
      </c>
    </row>
    <row r="2" spans="1:36" x14ac:dyDescent="0.2">
      <c r="A2" s="1">
        <v>6538</v>
      </c>
      <c r="B2" s="1" t="s">
        <v>7</v>
      </c>
      <c r="C2" s="1" t="s">
        <v>9</v>
      </c>
      <c r="D2" s="1">
        <v>3.88</v>
      </c>
      <c r="E2" s="1">
        <v>3</v>
      </c>
      <c r="F2" s="1">
        <v>4.3609999999999998</v>
      </c>
      <c r="G2" s="1">
        <v>0</v>
      </c>
      <c r="H2" s="1">
        <v>0</v>
      </c>
      <c r="I2" s="1">
        <v>0</v>
      </c>
      <c r="J2" s="1" t="s">
        <v>27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 t="s">
        <v>27</v>
      </c>
      <c r="S2" s="1">
        <f>Q2-H2</f>
        <v>0</v>
      </c>
      <c r="T2" s="1">
        <f>Q2-K2</f>
        <v>0</v>
      </c>
      <c r="U2" s="1">
        <f>Q2-M2</f>
        <v>0</v>
      </c>
      <c r="V2" s="1">
        <f>Q2-O2</f>
        <v>0</v>
      </c>
      <c r="W2" s="1">
        <f>Q2-H2-K2</f>
        <v>0</v>
      </c>
      <c r="X2" s="1">
        <f>Q2-H2-M2</f>
        <v>0</v>
      </c>
      <c r="Y2" s="1">
        <f>Q2-H2-O2</f>
        <v>0</v>
      </c>
      <c r="Z2" s="1">
        <f>Q2-K2-M2</f>
        <v>0</v>
      </c>
      <c r="AA2" s="1">
        <f>Q2-K2-O2</f>
        <v>0</v>
      </c>
      <c r="AB2" s="1">
        <f>Q2-M2-O2</f>
        <v>0</v>
      </c>
      <c r="AC2" s="1">
        <v>12.610704999999999</v>
      </c>
      <c r="AD2" s="1">
        <v>7.6310000000000002</v>
      </c>
      <c r="AE2" s="1">
        <v>6.7452030000000001</v>
      </c>
      <c r="AF2" s="1">
        <v>4.1630000000000003</v>
      </c>
      <c r="AG2" s="1">
        <v>5.8655020000000002</v>
      </c>
      <c r="AH2" s="1">
        <v>3.468</v>
      </c>
      <c r="AI2" s="1">
        <f>AC2/AE2</f>
        <v>1.8695812416616666</v>
      </c>
    </row>
    <row r="3" spans="1:36" x14ac:dyDescent="0.2">
      <c r="A3" s="1">
        <v>279545</v>
      </c>
      <c r="B3" s="1" t="s">
        <v>8</v>
      </c>
      <c r="C3" s="1" t="s">
        <v>9</v>
      </c>
      <c r="D3" s="1">
        <v>5.0999999999999996</v>
      </c>
      <c r="E3" s="1">
        <v>8</v>
      </c>
      <c r="F3" s="1">
        <v>0</v>
      </c>
      <c r="G3" s="1">
        <v>0</v>
      </c>
      <c r="H3" s="1">
        <v>0</v>
      </c>
      <c r="I3" s="1">
        <v>0</v>
      </c>
      <c r="J3" s="1" t="s">
        <v>27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 t="s">
        <v>27</v>
      </c>
      <c r="S3" s="1">
        <f t="shared" ref="S3:S36" si="0">Q3-H3</f>
        <v>0</v>
      </c>
      <c r="T3" s="1">
        <f t="shared" ref="T3:T36" si="1">Q3-K3</f>
        <v>0</v>
      </c>
      <c r="U3" s="1">
        <f t="shared" ref="U3:U36" si="2">Q3-M3</f>
        <v>0</v>
      </c>
      <c r="V3" s="1">
        <f t="shared" ref="V3:V36" si="3">Q3-O3</f>
        <v>0</v>
      </c>
      <c r="W3" s="1">
        <f t="shared" ref="W3:W36" si="4">Q3-H3-K3</f>
        <v>0</v>
      </c>
      <c r="X3" s="1">
        <f t="shared" ref="X3:X36" si="5">Q3-H3-M3</f>
        <v>0</v>
      </c>
      <c r="Y3" s="1">
        <f t="shared" ref="Y3:Y36" si="6">Q3-H3-O3</f>
        <v>0</v>
      </c>
      <c r="Z3" s="1">
        <f t="shared" ref="Z3:Z36" si="7">Q3-K3-M3</f>
        <v>0</v>
      </c>
      <c r="AA3" s="1">
        <f t="shared" ref="AA3:AA36" si="8">Q3-K3-O3</f>
        <v>0</v>
      </c>
      <c r="AB3" s="1">
        <f t="shared" ref="AB3:AB36" si="9">Q3-M3-O3</f>
        <v>0</v>
      </c>
      <c r="AC3" s="1">
        <v>17.380358000000001</v>
      </c>
      <c r="AD3" s="1">
        <v>10.516999999999999</v>
      </c>
      <c r="AE3" s="1">
        <v>8.1539540000000006</v>
      </c>
      <c r="AF3" s="1">
        <v>4.9340000000000002</v>
      </c>
      <c r="AG3" s="1">
        <v>9.2264040000000005</v>
      </c>
      <c r="AH3" s="1">
        <v>5.5830000000000002</v>
      </c>
      <c r="AI3" s="1">
        <f t="shared" ref="AI3:AI36" si="10">AC3/AE3</f>
        <v>2.1315251471862608</v>
      </c>
    </row>
    <row r="4" spans="1:36" x14ac:dyDescent="0.2">
      <c r="A4" s="1">
        <v>239375</v>
      </c>
      <c r="B4" s="1" t="s">
        <v>8</v>
      </c>
      <c r="C4" s="1" t="s">
        <v>9</v>
      </c>
      <c r="D4" s="1">
        <v>4.45</v>
      </c>
      <c r="E4" s="1">
        <v>9</v>
      </c>
      <c r="F4" s="1">
        <v>0.26</v>
      </c>
      <c r="G4" s="1">
        <v>0</v>
      </c>
      <c r="H4" s="1">
        <v>0</v>
      </c>
      <c r="I4" s="1">
        <v>0</v>
      </c>
      <c r="J4" s="1" t="s">
        <v>27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27</v>
      </c>
      <c r="S4" s="1">
        <f t="shared" si="0"/>
        <v>0</v>
      </c>
      <c r="T4" s="1">
        <f t="shared" si="1"/>
        <v>0</v>
      </c>
      <c r="U4" s="1">
        <f t="shared" si="2"/>
        <v>0</v>
      </c>
      <c r="V4" s="1">
        <f t="shared" si="3"/>
        <v>0</v>
      </c>
      <c r="W4" s="1">
        <f t="shared" si="4"/>
        <v>0</v>
      </c>
      <c r="X4" s="1">
        <f t="shared" si="5"/>
        <v>0</v>
      </c>
      <c r="Y4" s="1">
        <f t="shared" si="6"/>
        <v>0</v>
      </c>
      <c r="Z4" s="1">
        <f t="shared" si="7"/>
        <v>0</v>
      </c>
      <c r="AA4" s="1">
        <f t="shared" si="8"/>
        <v>0</v>
      </c>
      <c r="AB4" s="1">
        <f t="shared" si="9"/>
        <v>0</v>
      </c>
      <c r="AC4" s="1">
        <v>20.655791000000001</v>
      </c>
      <c r="AD4" s="1">
        <v>12.5</v>
      </c>
      <c r="AE4" s="1">
        <v>8.0346060000000001</v>
      </c>
      <c r="AF4" s="1">
        <v>4.8620000000000001</v>
      </c>
      <c r="AG4" s="1">
        <v>12.621185000000001</v>
      </c>
      <c r="AH4" s="1">
        <v>7.6379999999999999</v>
      </c>
      <c r="AI4" s="1">
        <f t="shared" si="10"/>
        <v>2.5708530076023641</v>
      </c>
    </row>
    <row r="5" spans="1:36" x14ac:dyDescent="0.2">
      <c r="A5" s="1">
        <v>279841</v>
      </c>
      <c r="B5" s="1" t="s">
        <v>8</v>
      </c>
      <c r="C5" s="1" t="s">
        <v>9</v>
      </c>
      <c r="D5" s="1">
        <v>4.5999999999999996</v>
      </c>
      <c r="E5" s="1">
        <v>11</v>
      </c>
      <c r="F5" s="1">
        <v>0</v>
      </c>
      <c r="G5" s="1">
        <v>0</v>
      </c>
      <c r="H5" s="1">
        <v>0</v>
      </c>
      <c r="I5" s="1">
        <v>0</v>
      </c>
      <c r="J5" s="1" t="s">
        <v>27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27</v>
      </c>
      <c r="S5" s="1">
        <f t="shared" si="0"/>
        <v>0</v>
      </c>
      <c r="T5" s="1">
        <f t="shared" si="1"/>
        <v>0</v>
      </c>
      <c r="U5" s="1">
        <f t="shared" si="2"/>
        <v>0</v>
      </c>
      <c r="V5" s="1">
        <f t="shared" si="3"/>
        <v>0</v>
      </c>
      <c r="W5" s="1">
        <f t="shared" si="4"/>
        <v>0</v>
      </c>
      <c r="X5" s="1">
        <f t="shared" si="5"/>
        <v>0</v>
      </c>
      <c r="Y5" s="1">
        <f t="shared" si="6"/>
        <v>0</v>
      </c>
      <c r="Z5" s="1">
        <f t="shared" si="7"/>
        <v>0</v>
      </c>
      <c r="AA5" s="1">
        <f t="shared" si="8"/>
        <v>0</v>
      </c>
      <c r="AB5" s="1">
        <f t="shared" si="9"/>
        <v>0</v>
      </c>
      <c r="AC5" s="1">
        <v>14.92881</v>
      </c>
      <c r="AD5" s="1">
        <v>9.516</v>
      </c>
      <c r="AE5" s="1">
        <v>3.500721</v>
      </c>
      <c r="AF5" s="1">
        <v>2.1960000000000002</v>
      </c>
      <c r="AG5" s="1">
        <v>11.428089</v>
      </c>
      <c r="AH5" s="1">
        <v>7.32</v>
      </c>
      <c r="AI5" s="1">
        <f t="shared" si="10"/>
        <v>4.2644957995795725</v>
      </c>
    </row>
    <row r="6" spans="1:36" x14ac:dyDescent="0.2">
      <c r="A6" s="1">
        <v>279831</v>
      </c>
      <c r="B6" s="1" t="s">
        <v>7</v>
      </c>
      <c r="C6" s="1" t="s">
        <v>9</v>
      </c>
      <c r="D6" s="1">
        <v>4.29</v>
      </c>
      <c r="E6" s="1">
        <v>9</v>
      </c>
      <c r="F6" s="1">
        <v>0</v>
      </c>
      <c r="G6" s="1">
        <v>0</v>
      </c>
      <c r="H6" s="1">
        <v>0</v>
      </c>
      <c r="I6" s="1">
        <v>0</v>
      </c>
      <c r="J6" s="1" t="s">
        <v>27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27</v>
      </c>
      <c r="S6" s="1">
        <f t="shared" si="0"/>
        <v>0</v>
      </c>
      <c r="T6" s="1">
        <f t="shared" si="1"/>
        <v>0</v>
      </c>
      <c r="U6" s="1">
        <f t="shared" si="2"/>
        <v>0</v>
      </c>
      <c r="V6" s="1">
        <f t="shared" si="3"/>
        <v>0</v>
      </c>
      <c r="W6" s="1">
        <f t="shared" si="4"/>
        <v>0</v>
      </c>
      <c r="X6" s="1">
        <f t="shared" si="5"/>
        <v>0</v>
      </c>
      <c r="Y6" s="1">
        <f t="shared" si="6"/>
        <v>0</v>
      </c>
      <c r="Z6" s="1">
        <f t="shared" si="7"/>
        <v>0</v>
      </c>
      <c r="AA6" s="1">
        <f t="shared" si="8"/>
        <v>0</v>
      </c>
      <c r="AB6" s="1">
        <f t="shared" si="9"/>
        <v>0</v>
      </c>
      <c r="AC6" s="1">
        <v>12.794606999999999</v>
      </c>
      <c r="AD6" s="1">
        <v>7.6390000000000002</v>
      </c>
      <c r="AE6" s="1">
        <v>5.797447</v>
      </c>
      <c r="AF6" s="1">
        <v>3.4729999999999999</v>
      </c>
      <c r="AG6" s="1">
        <v>6.99716</v>
      </c>
      <c r="AH6" s="1">
        <v>4.1660000000000004</v>
      </c>
      <c r="AI6" s="1">
        <f t="shared" si="10"/>
        <v>2.2069381574337807</v>
      </c>
    </row>
    <row r="7" spans="1:36" x14ac:dyDescent="0.2">
      <c r="A7" s="1">
        <v>9021</v>
      </c>
      <c r="B7" s="1" t="s">
        <v>8</v>
      </c>
      <c r="C7" s="1" t="s">
        <v>9</v>
      </c>
      <c r="D7" s="1">
        <v>4.8</v>
      </c>
      <c r="E7" s="1">
        <v>2</v>
      </c>
      <c r="F7" s="1">
        <v>0.45500000000000002</v>
      </c>
      <c r="G7" s="1">
        <v>0</v>
      </c>
      <c r="H7" s="1">
        <v>0</v>
      </c>
      <c r="I7" s="1">
        <v>0</v>
      </c>
      <c r="J7" s="1" t="s">
        <v>27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 t="s">
        <v>27</v>
      </c>
      <c r="S7" s="1">
        <f t="shared" si="0"/>
        <v>0</v>
      </c>
      <c r="T7" s="1">
        <f t="shared" si="1"/>
        <v>0</v>
      </c>
      <c r="U7" s="1">
        <f t="shared" si="2"/>
        <v>0</v>
      </c>
      <c r="V7" s="1">
        <f t="shared" si="3"/>
        <v>0</v>
      </c>
      <c r="W7" s="1">
        <f t="shared" si="4"/>
        <v>0</v>
      </c>
      <c r="X7" s="1">
        <f t="shared" si="5"/>
        <v>0</v>
      </c>
      <c r="Y7" s="1">
        <f t="shared" si="6"/>
        <v>0</v>
      </c>
      <c r="Z7" s="1">
        <f t="shared" si="7"/>
        <v>0</v>
      </c>
      <c r="AA7" s="1">
        <f t="shared" si="8"/>
        <v>0</v>
      </c>
      <c r="AB7" s="1">
        <f t="shared" si="9"/>
        <v>0</v>
      </c>
      <c r="AC7" s="1">
        <v>15.302747</v>
      </c>
      <c r="AD7" s="1">
        <v>9.1679999999999993</v>
      </c>
      <c r="AE7" s="1">
        <v>8.9541730000000008</v>
      </c>
      <c r="AF7" s="1">
        <v>6.3220000000000001</v>
      </c>
      <c r="AG7" s="1">
        <v>6.3485740000000002</v>
      </c>
      <c r="AH7" s="1">
        <v>2.8460000000000001</v>
      </c>
      <c r="AI7" s="1">
        <f t="shared" si="10"/>
        <v>1.7090072974913484</v>
      </c>
    </row>
    <row r="8" spans="1:36" x14ac:dyDescent="0.2">
      <c r="A8" s="1">
        <v>6514</v>
      </c>
      <c r="B8" s="1" t="s">
        <v>8</v>
      </c>
      <c r="C8" s="1" t="s">
        <v>9</v>
      </c>
      <c r="D8" s="1">
        <v>5.18</v>
      </c>
      <c r="E8" s="1">
        <v>3</v>
      </c>
      <c r="F8" s="1">
        <v>0</v>
      </c>
      <c r="G8" s="1">
        <v>0</v>
      </c>
      <c r="H8" s="1">
        <v>0</v>
      </c>
      <c r="I8" s="1">
        <v>0</v>
      </c>
      <c r="J8" s="1" t="s">
        <v>27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27</v>
      </c>
      <c r="S8" s="1">
        <f t="shared" si="0"/>
        <v>0</v>
      </c>
      <c r="T8" s="1">
        <f t="shared" si="1"/>
        <v>0</v>
      </c>
      <c r="U8" s="1">
        <f t="shared" si="2"/>
        <v>0</v>
      </c>
      <c r="V8" s="1">
        <f t="shared" si="3"/>
        <v>0</v>
      </c>
      <c r="W8" s="1">
        <f t="shared" si="4"/>
        <v>0</v>
      </c>
      <c r="X8" s="1">
        <f t="shared" si="5"/>
        <v>0</v>
      </c>
      <c r="Y8" s="1">
        <f t="shared" si="6"/>
        <v>0</v>
      </c>
      <c r="Z8" s="1">
        <f t="shared" si="7"/>
        <v>0</v>
      </c>
      <c r="AA8" s="1">
        <f t="shared" si="8"/>
        <v>0</v>
      </c>
      <c r="AB8" s="1">
        <f t="shared" si="9"/>
        <v>0</v>
      </c>
      <c r="AC8" s="1">
        <v>12.239845000000001</v>
      </c>
      <c r="AD8" s="1">
        <v>6.9870000000000001</v>
      </c>
      <c r="AE8" s="1">
        <v>8.8425860000000007</v>
      </c>
      <c r="AF8" s="1">
        <v>5.5469999999999997</v>
      </c>
      <c r="AG8" s="1">
        <v>3.397259</v>
      </c>
      <c r="AH8" s="1">
        <v>1.44</v>
      </c>
      <c r="AI8" s="1">
        <f t="shared" si="10"/>
        <v>1.3841929272726328</v>
      </c>
    </row>
    <row r="9" spans="1:36" x14ac:dyDescent="0.2">
      <c r="A9" s="1">
        <v>9817</v>
      </c>
      <c r="B9" s="1" t="s">
        <v>8</v>
      </c>
      <c r="C9" s="1" t="s">
        <v>9</v>
      </c>
      <c r="D9" s="1">
        <v>4.78</v>
      </c>
      <c r="E9" s="1">
        <v>4</v>
      </c>
      <c r="F9" s="1">
        <v>0</v>
      </c>
      <c r="G9" s="1">
        <v>0</v>
      </c>
      <c r="H9" s="1">
        <v>0</v>
      </c>
      <c r="I9" s="1">
        <v>0</v>
      </c>
      <c r="J9" s="1" t="s">
        <v>27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 t="s">
        <v>27</v>
      </c>
      <c r="S9" s="1">
        <f t="shared" si="0"/>
        <v>0</v>
      </c>
      <c r="T9" s="1">
        <f t="shared" si="1"/>
        <v>0</v>
      </c>
      <c r="U9" s="1">
        <f t="shared" si="2"/>
        <v>0</v>
      </c>
      <c r="V9" s="1">
        <f t="shared" si="3"/>
        <v>0</v>
      </c>
      <c r="W9" s="1">
        <f t="shared" si="4"/>
        <v>0</v>
      </c>
      <c r="X9" s="1">
        <f t="shared" si="5"/>
        <v>0</v>
      </c>
      <c r="Y9" s="1">
        <f t="shared" si="6"/>
        <v>0</v>
      </c>
      <c r="Z9" s="1">
        <f t="shared" si="7"/>
        <v>0</v>
      </c>
      <c r="AA9" s="1">
        <f t="shared" si="8"/>
        <v>0</v>
      </c>
      <c r="AB9" s="1">
        <f t="shared" si="9"/>
        <v>0</v>
      </c>
      <c r="AC9" s="1">
        <v>12.300675999999999</v>
      </c>
      <c r="AD9" s="1">
        <v>7.6920000000000002</v>
      </c>
      <c r="AE9" s="1">
        <v>15.021357</v>
      </c>
      <c r="AF9" s="1">
        <v>9.06</v>
      </c>
      <c r="AG9" s="1">
        <v>-2.7206809999999999</v>
      </c>
      <c r="AH9" s="1">
        <v>-1.3680000000000001</v>
      </c>
      <c r="AI9" s="1">
        <f t="shared" si="10"/>
        <v>0.81887914653782601</v>
      </c>
    </row>
    <row r="10" spans="1:36" x14ac:dyDescent="0.2">
      <c r="A10" s="1">
        <v>206710</v>
      </c>
      <c r="B10" s="1" t="s">
        <v>8</v>
      </c>
      <c r="C10" s="1" t="s">
        <v>9</v>
      </c>
      <c r="D10" s="1">
        <v>4.32</v>
      </c>
      <c r="E10" s="1">
        <v>11</v>
      </c>
      <c r="F10" s="1">
        <v>0</v>
      </c>
      <c r="G10" s="1">
        <v>0</v>
      </c>
      <c r="H10" s="1">
        <v>0</v>
      </c>
      <c r="I10" s="1">
        <v>0</v>
      </c>
      <c r="J10" s="1" t="s">
        <v>27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 t="s">
        <v>27</v>
      </c>
      <c r="S10" s="1">
        <f t="shared" si="0"/>
        <v>0</v>
      </c>
      <c r="T10" s="1">
        <f t="shared" si="1"/>
        <v>0</v>
      </c>
      <c r="U10" s="1">
        <f t="shared" si="2"/>
        <v>0</v>
      </c>
      <c r="V10" s="1">
        <f t="shared" si="3"/>
        <v>0</v>
      </c>
      <c r="W10" s="1">
        <f t="shared" si="4"/>
        <v>0</v>
      </c>
      <c r="X10" s="1">
        <f t="shared" si="5"/>
        <v>0</v>
      </c>
      <c r="Y10" s="1">
        <f t="shared" si="6"/>
        <v>0</v>
      </c>
      <c r="Z10" s="1">
        <f t="shared" si="7"/>
        <v>0</v>
      </c>
      <c r="AA10" s="1">
        <f t="shared" si="8"/>
        <v>0</v>
      </c>
      <c r="AB10" s="1">
        <f t="shared" si="9"/>
        <v>0</v>
      </c>
      <c r="AC10" s="1">
        <v>14.540634000000001</v>
      </c>
      <c r="AD10" s="1">
        <v>8.7989999999999995</v>
      </c>
      <c r="AE10" s="1">
        <v>10.90687</v>
      </c>
      <c r="AF10" s="1">
        <v>6.6</v>
      </c>
      <c r="AG10" s="1">
        <v>3.6337640000000002</v>
      </c>
      <c r="AH10" s="1">
        <v>2.1989999999999998</v>
      </c>
      <c r="AI10" s="1">
        <f t="shared" si="10"/>
        <v>1.3331628597388618</v>
      </c>
    </row>
    <row r="11" spans="1:36" x14ac:dyDescent="0.2">
      <c r="A11" s="1">
        <v>9820</v>
      </c>
      <c r="B11" s="1" t="s">
        <v>7</v>
      </c>
      <c r="C11" s="1" t="s">
        <v>9</v>
      </c>
      <c r="D11" s="1">
        <v>4.28</v>
      </c>
      <c r="E11" s="1">
        <v>4</v>
      </c>
      <c r="F11" s="1">
        <v>0</v>
      </c>
      <c r="G11" s="1">
        <v>0</v>
      </c>
      <c r="H11" s="1">
        <v>0</v>
      </c>
      <c r="I11" s="1">
        <v>0</v>
      </c>
      <c r="J11" s="1" t="s">
        <v>27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 t="s">
        <v>27</v>
      </c>
      <c r="S11" s="1">
        <f t="shared" si="0"/>
        <v>0</v>
      </c>
      <c r="T11" s="1">
        <f t="shared" si="1"/>
        <v>0</v>
      </c>
      <c r="U11" s="1">
        <f t="shared" si="2"/>
        <v>0</v>
      </c>
      <c r="V11" s="1">
        <f t="shared" si="3"/>
        <v>0</v>
      </c>
      <c r="W11" s="1">
        <f t="shared" si="4"/>
        <v>0</v>
      </c>
      <c r="X11" s="1">
        <f t="shared" si="5"/>
        <v>0</v>
      </c>
      <c r="Y11" s="1">
        <f t="shared" si="6"/>
        <v>0</v>
      </c>
      <c r="Z11" s="1">
        <f t="shared" si="7"/>
        <v>0</v>
      </c>
      <c r="AA11" s="1">
        <f t="shared" si="8"/>
        <v>0</v>
      </c>
      <c r="AB11" s="1">
        <f t="shared" si="9"/>
        <v>0</v>
      </c>
      <c r="AC11" s="1">
        <v>10.302053000000001</v>
      </c>
      <c r="AD11" s="1">
        <v>6.2549999999999999</v>
      </c>
      <c r="AE11" s="1">
        <v>6.9133120000000003</v>
      </c>
      <c r="AF11" s="1">
        <v>4.17</v>
      </c>
      <c r="AG11" s="1">
        <v>3.388741</v>
      </c>
      <c r="AH11" s="1">
        <v>2.085</v>
      </c>
      <c r="AI11" s="1">
        <f t="shared" si="10"/>
        <v>1.4901761991936715</v>
      </c>
    </row>
    <row r="12" spans="1:36" x14ac:dyDescent="0.2">
      <c r="A12" s="1">
        <v>237756</v>
      </c>
      <c r="B12" s="1" t="s">
        <v>7</v>
      </c>
      <c r="C12" s="1" t="s">
        <v>9</v>
      </c>
      <c r="D12" s="1">
        <v>4.12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  <c r="J12" s="1" t="s">
        <v>27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 t="s">
        <v>27</v>
      </c>
      <c r="S12" s="1">
        <f t="shared" si="0"/>
        <v>0</v>
      </c>
      <c r="T12" s="1">
        <f t="shared" si="1"/>
        <v>0</v>
      </c>
      <c r="U12" s="1">
        <f t="shared" si="2"/>
        <v>0</v>
      </c>
      <c r="V12" s="1">
        <f t="shared" si="3"/>
        <v>0</v>
      </c>
      <c r="W12" s="1">
        <f t="shared" si="4"/>
        <v>0</v>
      </c>
      <c r="X12" s="1">
        <f t="shared" si="5"/>
        <v>0</v>
      </c>
      <c r="Y12" s="1">
        <f t="shared" si="6"/>
        <v>0</v>
      </c>
      <c r="Z12" s="1">
        <f t="shared" si="7"/>
        <v>0</v>
      </c>
      <c r="AA12" s="1">
        <f t="shared" si="8"/>
        <v>0</v>
      </c>
      <c r="AB12" s="1">
        <f t="shared" si="9"/>
        <v>0</v>
      </c>
      <c r="AC12" s="1">
        <v>4.8013519999999996</v>
      </c>
      <c r="AD12" s="1">
        <v>2.9350000000000001</v>
      </c>
      <c r="AE12" s="1">
        <v>10.947214000000001</v>
      </c>
      <c r="AF12" s="1">
        <v>6.6020000000000003</v>
      </c>
      <c r="AG12" s="1">
        <v>-6.1458620000000002</v>
      </c>
      <c r="AH12" s="1">
        <v>-3.6669999999999998</v>
      </c>
      <c r="AI12" s="1">
        <f t="shared" si="10"/>
        <v>0.43859122512814669</v>
      </c>
    </row>
    <row r="13" spans="1:36" x14ac:dyDescent="0.2">
      <c r="A13" s="1">
        <v>279550</v>
      </c>
      <c r="B13" s="1" t="s">
        <v>7</v>
      </c>
      <c r="C13" s="1" t="s">
        <v>9</v>
      </c>
      <c r="D13" s="1">
        <v>4.63</v>
      </c>
      <c r="E13" s="1">
        <v>8</v>
      </c>
      <c r="F13" s="1">
        <v>0</v>
      </c>
      <c r="G13" s="1">
        <v>3.8580000000000001</v>
      </c>
      <c r="H13" s="1">
        <v>0</v>
      </c>
      <c r="I13" s="1">
        <v>0</v>
      </c>
      <c r="J13" s="1" t="s">
        <v>27</v>
      </c>
      <c r="K13" s="1">
        <v>0.9</v>
      </c>
      <c r="L13" s="1">
        <v>5</v>
      </c>
      <c r="M13" s="1">
        <v>0</v>
      </c>
      <c r="N13" s="1">
        <v>0</v>
      </c>
      <c r="O13" s="1">
        <v>0</v>
      </c>
      <c r="P13" s="1">
        <v>0</v>
      </c>
      <c r="Q13" s="1">
        <v>0.9</v>
      </c>
      <c r="R13" s="1" t="s">
        <v>28</v>
      </c>
      <c r="S13" s="1">
        <f t="shared" si="0"/>
        <v>0.9</v>
      </c>
      <c r="T13" s="1">
        <f t="shared" si="1"/>
        <v>0</v>
      </c>
      <c r="U13" s="1">
        <f t="shared" si="2"/>
        <v>0.9</v>
      </c>
      <c r="V13" s="1">
        <f t="shared" si="3"/>
        <v>0.9</v>
      </c>
      <c r="W13" s="1">
        <f t="shared" si="4"/>
        <v>0</v>
      </c>
      <c r="X13" s="1">
        <f t="shared" si="5"/>
        <v>0.9</v>
      </c>
      <c r="Y13" s="1">
        <f t="shared" si="6"/>
        <v>0.9</v>
      </c>
      <c r="Z13" s="1">
        <f t="shared" si="7"/>
        <v>0</v>
      </c>
      <c r="AA13" s="1">
        <f t="shared" si="8"/>
        <v>0</v>
      </c>
      <c r="AB13" s="1">
        <f t="shared" si="9"/>
        <v>0.9</v>
      </c>
      <c r="AC13" s="1">
        <v>9.3698750000000004</v>
      </c>
      <c r="AD13" s="1">
        <v>5.6509999999999998</v>
      </c>
      <c r="AE13" s="1">
        <v>10.472073999999999</v>
      </c>
      <c r="AF13" s="1">
        <v>6.3579999999999997</v>
      </c>
      <c r="AG13" s="1">
        <v>-1.1021989999999999</v>
      </c>
      <c r="AH13" s="1">
        <v>-0.70699999999999996</v>
      </c>
      <c r="AI13" s="1">
        <f t="shared" si="10"/>
        <v>0.8947487384065469</v>
      </c>
      <c r="AJ13">
        <f t="shared" ref="AJ13:AJ36" si="11">((((AG13/60)*10)*3600)/Q13)/AE13</f>
        <v>-70.167507728968815</v>
      </c>
    </row>
    <row r="14" spans="1:36" x14ac:dyDescent="0.2">
      <c r="A14" s="1">
        <v>9507</v>
      </c>
      <c r="B14" s="1" t="s">
        <v>8</v>
      </c>
      <c r="C14" s="1" t="s">
        <v>9</v>
      </c>
      <c r="D14" s="1">
        <v>4.6500000000000004</v>
      </c>
      <c r="E14" s="1">
        <v>7</v>
      </c>
      <c r="F14" s="1">
        <v>0.45800000000000002</v>
      </c>
      <c r="G14" s="1">
        <v>0</v>
      </c>
      <c r="H14" s="1">
        <v>0</v>
      </c>
      <c r="I14" s="1">
        <v>0</v>
      </c>
      <c r="J14" s="1" t="s">
        <v>27</v>
      </c>
      <c r="K14" s="1">
        <v>1.1499999999999999</v>
      </c>
      <c r="L14" s="1">
        <v>3</v>
      </c>
      <c r="M14" s="1">
        <v>0</v>
      </c>
      <c r="N14" s="1">
        <v>0</v>
      </c>
      <c r="O14" s="1">
        <v>0</v>
      </c>
      <c r="P14" s="1">
        <v>0</v>
      </c>
      <c r="Q14" s="1">
        <v>1.1499999999999999</v>
      </c>
      <c r="R14" s="1" t="s">
        <v>28</v>
      </c>
      <c r="S14" s="1">
        <f t="shared" si="0"/>
        <v>1.1499999999999999</v>
      </c>
      <c r="T14" s="1">
        <f t="shared" si="1"/>
        <v>0</v>
      </c>
      <c r="U14" s="1">
        <f t="shared" si="2"/>
        <v>1.1499999999999999</v>
      </c>
      <c r="V14" s="1">
        <f t="shared" si="3"/>
        <v>1.1499999999999999</v>
      </c>
      <c r="W14" s="1">
        <f t="shared" si="4"/>
        <v>0</v>
      </c>
      <c r="X14" s="1">
        <f t="shared" si="5"/>
        <v>1.1499999999999999</v>
      </c>
      <c r="Y14" s="1">
        <f t="shared" si="6"/>
        <v>1.1499999999999999</v>
      </c>
      <c r="Z14" s="1">
        <f t="shared" si="7"/>
        <v>0</v>
      </c>
      <c r="AA14" s="1">
        <f t="shared" si="8"/>
        <v>0</v>
      </c>
      <c r="AB14" s="1">
        <f t="shared" si="9"/>
        <v>1.1499999999999999</v>
      </c>
      <c r="AC14" s="1">
        <v>14.89725</v>
      </c>
      <c r="AD14" s="1">
        <v>9.1649999999999991</v>
      </c>
      <c r="AE14" s="1">
        <v>12.118266999999999</v>
      </c>
      <c r="AF14" s="1">
        <v>7.0640000000000001</v>
      </c>
      <c r="AG14" s="1">
        <v>2.7789830000000002</v>
      </c>
      <c r="AH14" s="1">
        <v>2.101</v>
      </c>
      <c r="AI14" s="1">
        <f t="shared" si="10"/>
        <v>1.2293218163950341</v>
      </c>
      <c r="AJ14">
        <f t="shared" si="11"/>
        <v>119.64616507566994</v>
      </c>
    </row>
    <row r="15" spans="1:36" x14ac:dyDescent="0.2">
      <c r="A15" s="1">
        <v>9548</v>
      </c>
      <c r="B15" s="1" t="s">
        <v>8</v>
      </c>
      <c r="C15" s="1" t="s">
        <v>9</v>
      </c>
      <c r="D15" s="1">
        <v>4.54</v>
      </c>
      <c r="E15" s="1">
        <v>5</v>
      </c>
      <c r="F15" s="1">
        <v>4.6269999999999998</v>
      </c>
      <c r="G15" s="1">
        <v>0</v>
      </c>
      <c r="H15" s="1">
        <v>0.3</v>
      </c>
      <c r="I15" s="1">
        <v>4</v>
      </c>
      <c r="J15" s="1" t="s">
        <v>28</v>
      </c>
      <c r="K15" s="1">
        <v>1.4</v>
      </c>
      <c r="L15" s="1">
        <v>7</v>
      </c>
      <c r="M15" s="1">
        <v>0</v>
      </c>
      <c r="N15" s="1">
        <v>0</v>
      </c>
      <c r="O15" s="1">
        <v>0</v>
      </c>
      <c r="P15" s="1">
        <v>0</v>
      </c>
      <c r="Q15" s="1">
        <v>1.7</v>
      </c>
      <c r="R15" s="1" t="s">
        <v>28</v>
      </c>
      <c r="S15" s="1">
        <f t="shared" si="0"/>
        <v>1.4</v>
      </c>
      <c r="T15" s="1">
        <f t="shared" si="1"/>
        <v>0.30000000000000004</v>
      </c>
      <c r="U15" s="1">
        <f t="shared" si="2"/>
        <v>1.7</v>
      </c>
      <c r="V15" s="1">
        <f t="shared" si="3"/>
        <v>1.7</v>
      </c>
      <c r="W15" s="1">
        <f t="shared" si="4"/>
        <v>0</v>
      </c>
      <c r="X15" s="1">
        <f t="shared" si="5"/>
        <v>1.4</v>
      </c>
      <c r="Y15" s="1">
        <f t="shared" si="6"/>
        <v>1.4</v>
      </c>
      <c r="Z15" s="1">
        <f t="shared" si="7"/>
        <v>0.30000000000000004</v>
      </c>
      <c r="AA15" s="1">
        <f t="shared" si="8"/>
        <v>0.30000000000000004</v>
      </c>
      <c r="AB15" s="1">
        <f t="shared" si="9"/>
        <v>1.7</v>
      </c>
      <c r="AC15" s="1">
        <v>11.396005000000001</v>
      </c>
      <c r="AD15" s="1">
        <v>6.9420000000000002</v>
      </c>
      <c r="AE15" s="1">
        <v>5.9552659999999999</v>
      </c>
      <c r="AF15" s="1">
        <v>3.472</v>
      </c>
      <c r="AG15" s="1">
        <v>5.4407389999999998</v>
      </c>
      <c r="AH15" s="1">
        <v>3.47</v>
      </c>
      <c r="AI15" s="1">
        <f t="shared" si="10"/>
        <v>1.9136013403935275</v>
      </c>
      <c r="AJ15">
        <f t="shared" si="11"/>
        <v>322.44753190359791</v>
      </c>
    </row>
    <row r="16" spans="1:36" x14ac:dyDescent="0.2">
      <c r="A16" s="1">
        <v>9517</v>
      </c>
      <c r="B16" s="1" t="s">
        <v>7</v>
      </c>
      <c r="C16" s="1" t="s">
        <v>9</v>
      </c>
      <c r="D16" s="1">
        <v>4.33</v>
      </c>
      <c r="E16" s="1">
        <v>7</v>
      </c>
      <c r="F16" s="1">
        <v>2.702</v>
      </c>
      <c r="G16" s="1">
        <v>0</v>
      </c>
      <c r="H16" s="1">
        <v>0</v>
      </c>
      <c r="I16" s="1">
        <v>0</v>
      </c>
      <c r="J16" s="1" t="s">
        <v>27</v>
      </c>
      <c r="K16" s="1">
        <v>2.4700000000000002</v>
      </c>
      <c r="L16" s="1">
        <v>9</v>
      </c>
      <c r="M16" s="1">
        <v>0</v>
      </c>
      <c r="N16" s="1">
        <v>0</v>
      </c>
      <c r="O16" s="1">
        <v>0</v>
      </c>
      <c r="P16" s="1">
        <v>0</v>
      </c>
      <c r="Q16" s="1">
        <v>2.4700000000000002</v>
      </c>
      <c r="R16" s="1" t="s">
        <v>28</v>
      </c>
      <c r="S16" s="1">
        <f t="shared" si="0"/>
        <v>2.4700000000000002</v>
      </c>
      <c r="T16" s="1">
        <f t="shared" si="1"/>
        <v>0</v>
      </c>
      <c r="U16" s="1">
        <f t="shared" si="2"/>
        <v>2.4700000000000002</v>
      </c>
      <c r="V16" s="1">
        <f t="shared" si="3"/>
        <v>2.4700000000000002</v>
      </c>
      <c r="W16" s="1">
        <f t="shared" si="4"/>
        <v>0</v>
      </c>
      <c r="X16" s="1">
        <f t="shared" si="5"/>
        <v>2.4700000000000002</v>
      </c>
      <c r="Y16" s="1">
        <f t="shared" si="6"/>
        <v>2.4700000000000002</v>
      </c>
      <c r="Z16" s="1">
        <f t="shared" si="7"/>
        <v>0</v>
      </c>
      <c r="AA16" s="1">
        <f t="shared" si="8"/>
        <v>0</v>
      </c>
      <c r="AB16" s="1">
        <f t="shared" si="9"/>
        <v>2.4700000000000002</v>
      </c>
      <c r="AC16" s="1">
        <v>14.401611000000001</v>
      </c>
      <c r="AD16" s="1">
        <v>9.1219999999999999</v>
      </c>
      <c r="AE16" s="1">
        <v>4.655208</v>
      </c>
      <c r="AF16" s="1">
        <v>2.8079999999999998</v>
      </c>
      <c r="AG16" s="1">
        <v>9.7464030000000008</v>
      </c>
      <c r="AH16" s="1">
        <v>6.3140000000000001</v>
      </c>
      <c r="AI16" s="1">
        <f t="shared" si="10"/>
        <v>3.0936557507204836</v>
      </c>
      <c r="AJ16">
        <f t="shared" si="11"/>
        <v>508.58034430457081</v>
      </c>
    </row>
    <row r="17" spans="1:36" x14ac:dyDescent="0.2">
      <c r="A17" s="1">
        <v>9470</v>
      </c>
      <c r="B17" s="1" t="s">
        <v>7</v>
      </c>
      <c r="C17" s="1" t="s">
        <v>9</v>
      </c>
      <c r="D17" s="1">
        <v>4.37</v>
      </c>
      <c r="E17" s="1">
        <v>7</v>
      </c>
      <c r="F17" s="1">
        <v>0.82399999999999995</v>
      </c>
      <c r="G17" s="1">
        <v>0</v>
      </c>
      <c r="H17" s="1">
        <v>2.58</v>
      </c>
      <c r="I17" s="1">
        <v>28</v>
      </c>
      <c r="J17" s="1" t="s">
        <v>28</v>
      </c>
      <c r="K17" s="1">
        <v>6.62</v>
      </c>
      <c r="L17" s="1">
        <v>35</v>
      </c>
      <c r="M17" s="1">
        <v>0</v>
      </c>
      <c r="N17" s="1">
        <v>0</v>
      </c>
      <c r="O17" s="1">
        <v>0</v>
      </c>
      <c r="P17" s="1">
        <v>0</v>
      </c>
      <c r="Q17" s="1">
        <v>9.1999999999999993</v>
      </c>
      <c r="R17" s="1" t="s">
        <v>28</v>
      </c>
      <c r="S17" s="1">
        <f t="shared" si="0"/>
        <v>6.6199999999999992</v>
      </c>
      <c r="T17" s="1">
        <f t="shared" si="1"/>
        <v>2.5799999999999992</v>
      </c>
      <c r="U17" s="1">
        <f t="shared" si="2"/>
        <v>9.1999999999999993</v>
      </c>
      <c r="V17" s="1">
        <f t="shared" si="3"/>
        <v>9.1999999999999993</v>
      </c>
      <c r="W17" s="1">
        <f t="shared" si="4"/>
        <v>0</v>
      </c>
      <c r="X17" s="1">
        <f t="shared" si="5"/>
        <v>6.6199999999999992</v>
      </c>
      <c r="Y17" s="1">
        <f t="shared" si="6"/>
        <v>6.6199999999999992</v>
      </c>
      <c r="Z17" s="1">
        <f t="shared" si="7"/>
        <v>2.5799999999999992</v>
      </c>
      <c r="AA17" s="1">
        <f t="shared" si="8"/>
        <v>2.5799999999999992</v>
      </c>
      <c r="AB17" s="1">
        <f t="shared" si="9"/>
        <v>9.1999999999999993</v>
      </c>
      <c r="AC17" s="1">
        <v>12.630769000000001</v>
      </c>
      <c r="AD17" s="1">
        <v>7.6429999999999998</v>
      </c>
      <c r="AE17" s="1">
        <v>6.8906130000000001</v>
      </c>
      <c r="AF17" s="1">
        <v>4.17</v>
      </c>
      <c r="AG17" s="1">
        <v>5.7401559999999998</v>
      </c>
      <c r="AH17" s="1">
        <v>3.4729999999999999</v>
      </c>
      <c r="AI17" s="1">
        <f t="shared" si="10"/>
        <v>1.833039963207918</v>
      </c>
      <c r="AJ17">
        <f t="shared" si="11"/>
        <v>54.328693252690293</v>
      </c>
    </row>
    <row r="18" spans="1:36" x14ac:dyDescent="0.2">
      <c r="A18" s="1">
        <v>237615</v>
      </c>
      <c r="B18" s="1" t="s">
        <v>7</v>
      </c>
      <c r="C18" s="1" t="s">
        <v>10</v>
      </c>
      <c r="D18" s="1">
        <v>3.74</v>
      </c>
      <c r="E18" s="1">
        <v>8</v>
      </c>
      <c r="F18" s="1">
        <v>0.31</v>
      </c>
      <c r="G18" s="1">
        <v>0</v>
      </c>
      <c r="H18" s="1">
        <v>14.79</v>
      </c>
      <c r="I18" s="1">
        <v>109</v>
      </c>
      <c r="J18" s="1" t="s">
        <v>28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14.79</v>
      </c>
      <c r="R18" s="1" t="s">
        <v>28</v>
      </c>
      <c r="S18" s="1">
        <f t="shared" si="0"/>
        <v>0</v>
      </c>
      <c r="T18" s="1">
        <f t="shared" si="1"/>
        <v>14.79</v>
      </c>
      <c r="U18" s="1">
        <f t="shared" si="2"/>
        <v>14.79</v>
      </c>
      <c r="V18" s="1">
        <f t="shared" si="3"/>
        <v>14.79</v>
      </c>
      <c r="W18" s="1">
        <f t="shared" si="4"/>
        <v>0</v>
      </c>
      <c r="X18" s="1">
        <f t="shared" si="5"/>
        <v>0</v>
      </c>
      <c r="Y18" s="1">
        <f t="shared" si="6"/>
        <v>0</v>
      </c>
      <c r="Z18" s="1">
        <f t="shared" si="7"/>
        <v>14.79</v>
      </c>
      <c r="AA18" s="1">
        <f t="shared" si="8"/>
        <v>14.79</v>
      </c>
      <c r="AB18" s="1">
        <f t="shared" si="9"/>
        <v>14.79</v>
      </c>
      <c r="AC18" s="1">
        <v>13.870545</v>
      </c>
      <c r="AD18" s="1">
        <v>8.3659999999999997</v>
      </c>
      <c r="AE18" s="1">
        <v>5.8002719999999997</v>
      </c>
      <c r="AF18" s="1">
        <v>3.4870000000000001</v>
      </c>
      <c r="AG18" s="1">
        <v>8.0702730000000003</v>
      </c>
      <c r="AH18" s="1">
        <v>4.8789999999999996</v>
      </c>
      <c r="AI18" s="1">
        <f t="shared" si="10"/>
        <v>2.3913611292711789</v>
      </c>
      <c r="AJ18">
        <f t="shared" si="11"/>
        <v>56.44467055866852</v>
      </c>
    </row>
    <row r="19" spans="1:36" x14ac:dyDescent="0.2">
      <c r="A19" s="1">
        <v>9472</v>
      </c>
      <c r="B19" s="1" t="s">
        <v>8</v>
      </c>
      <c r="C19" s="1" t="s">
        <v>9</v>
      </c>
      <c r="D19" s="1">
        <v>3.75</v>
      </c>
      <c r="E19" s="1">
        <v>2</v>
      </c>
      <c r="F19" s="1">
        <v>4.782</v>
      </c>
      <c r="G19" s="1">
        <v>0</v>
      </c>
      <c r="H19" s="1">
        <v>0.05</v>
      </c>
      <c r="I19" s="1">
        <v>1</v>
      </c>
      <c r="J19" s="1" t="s">
        <v>28</v>
      </c>
      <c r="K19" s="1">
        <v>15.02</v>
      </c>
      <c r="L19" s="1">
        <v>60</v>
      </c>
      <c r="M19" s="1">
        <v>0.01</v>
      </c>
      <c r="N19" s="1">
        <v>1</v>
      </c>
      <c r="O19" s="1">
        <v>0</v>
      </c>
      <c r="P19" s="1">
        <v>0</v>
      </c>
      <c r="Q19" s="1">
        <v>15.08</v>
      </c>
      <c r="R19" s="1" t="s">
        <v>28</v>
      </c>
      <c r="S19" s="1">
        <f t="shared" si="0"/>
        <v>15.03</v>
      </c>
      <c r="T19" s="1">
        <f t="shared" si="1"/>
        <v>6.0000000000000497E-2</v>
      </c>
      <c r="U19" s="1">
        <f t="shared" si="2"/>
        <v>15.07</v>
      </c>
      <c r="V19" s="1">
        <f t="shared" si="3"/>
        <v>15.08</v>
      </c>
      <c r="W19" s="1">
        <f t="shared" si="4"/>
        <v>9.9999999999997868E-3</v>
      </c>
      <c r="X19" s="1">
        <f t="shared" si="5"/>
        <v>15.02</v>
      </c>
      <c r="Y19" s="1">
        <f t="shared" si="6"/>
        <v>15.03</v>
      </c>
      <c r="Z19" s="1">
        <f t="shared" si="7"/>
        <v>5.0000000000000495E-2</v>
      </c>
      <c r="AA19" s="1">
        <f t="shared" si="8"/>
        <v>6.0000000000000497E-2</v>
      </c>
      <c r="AB19" s="1">
        <f t="shared" si="9"/>
        <v>15.07</v>
      </c>
      <c r="AC19" s="1">
        <v>18.439398000000001</v>
      </c>
      <c r="AD19" s="1">
        <v>11.157999999999999</v>
      </c>
      <c r="AE19" s="1">
        <v>3.3771149999999999</v>
      </c>
      <c r="AF19" s="1">
        <v>2.0979999999999999</v>
      </c>
      <c r="AG19" s="1">
        <v>15.062283000000001</v>
      </c>
      <c r="AH19" s="1">
        <v>9.06</v>
      </c>
      <c r="AI19" s="1">
        <f t="shared" si="10"/>
        <v>5.4601036683678235</v>
      </c>
      <c r="AJ19">
        <f t="shared" si="11"/>
        <v>177.45770563797703</v>
      </c>
    </row>
    <row r="20" spans="1:36" x14ac:dyDescent="0.2">
      <c r="A20" s="1">
        <v>9506</v>
      </c>
      <c r="B20" s="1" t="s">
        <v>8</v>
      </c>
      <c r="C20" s="1" t="s">
        <v>9</v>
      </c>
      <c r="D20" s="1">
        <v>4.62</v>
      </c>
      <c r="E20" s="1">
        <v>7</v>
      </c>
      <c r="F20" s="1">
        <v>0</v>
      </c>
      <c r="G20" s="1">
        <v>1.47</v>
      </c>
      <c r="H20" s="1">
        <v>5.04</v>
      </c>
      <c r="I20" s="1">
        <v>51</v>
      </c>
      <c r="J20" s="1" t="s">
        <v>28</v>
      </c>
      <c r="K20" s="1">
        <v>10.68</v>
      </c>
      <c r="L20" s="1">
        <v>35</v>
      </c>
      <c r="M20" s="1">
        <v>0</v>
      </c>
      <c r="N20" s="1">
        <v>0</v>
      </c>
      <c r="O20" s="1">
        <v>0</v>
      </c>
      <c r="P20" s="1">
        <v>0</v>
      </c>
      <c r="Q20" s="1">
        <v>15.72</v>
      </c>
      <c r="R20" s="1" t="s">
        <v>28</v>
      </c>
      <c r="S20" s="1">
        <f t="shared" si="0"/>
        <v>10.68</v>
      </c>
      <c r="T20" s="1">
        <f t="shared" si="1"/>
        <v>5.0400000000000009</v>
      </c>
      <c r="U20" s="1">
        <f t="shared" si="2"/>
        <v>15.72</v>
      </c>
      <c r="V20" s="1">
        <f t="shared" si="3"/>
        <v>15.72</v>
      </c>
      <c r="W20" s="1">
        <f t="shared" si="4"/>
        <v>0</v>
      </c>
      <c r="X20" s="1">
        <f t="shared" si="5"/>
        <v>10.68</v>
      </c>
      <c r="Y20" s="1">
        <f t="shared" si="6"/>
        <v>10.68</v>
      </c>
      <c r="Z20" s="1">
        <f t="shared" si="7"/>
        <v>5.0400000000000009</v>
      </c>
      <c r="AA20" s="1">
        <f t="shared" si="8"/>
        <v>5.0400000000000009</v>
      </c>
      <c r="AB20" s="1">
        <f t="shared" si="9"/>
        <v>15.72</v>
      </c>
      <c r="AC20" s="1">
        <v>19.515919</v>
      </c>
      <c r="AD20" s="1">
        <v>11.81</v>
      </c>
      <c r="AE20" s="1">
        <v>12.756926999999999</v>
      </c>
      <c r="AF20" s="1">
        <v>7.6680000000000001</v>
      </c>
      <c r="AG20" s="1">
        <v>6.7589920000000001</v>
      </c>
      <c r="AH20" s="1">
        <v>4.1420000000000003</v>
      </c>
      <c r="AI20" s="1">
        <f t="shared" si="10"/>
        <v>1.5298291665383053</v>
      </c>
      <c r="AJ20">
        <f t="shared" si="11"/>
        <v>20.222487272454394</v>
      </c>
    </row>
    <row r="21" spans="1:36" x14ac:dyDescent="0.2">
      <c r="A21" s="1">
        <v>242642</v>
      </c>
      <c r="B21" s="1" t="s">
        <v>8</v>
      </c>
      <c r="C21" s="1" t="s">
        <v>10</v>
      </c>
      <c r="D21" s="1">
        <v>4.0999999999999996</v>
      </c>
      <c r="E21" s="1">
        <v>11</v>
      </c>
      <c r="F21" s="1">
        <v>0</v>
      </c>
      <c r="G21" s="1">
        <v>0</v>
      </c>
      <c r="H21" s="1">
        <v>16.079999999999998</v>
      </c>
      <c r="I21" s="1">
        <v>110</v>
      </c>
      <c r="J21" s="1" t="s">
        <v>28</v>
      </c>
      <c r="K21" s="1">
        <v>0.03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16.11</v>
      </c>
      <c r="R21" s="1" t="s">
        <v>28</v>
      </c>
      <c r="S21" s="1">
        <f t="shared" si="0"/>
        <v>3.0000000000001137E-2</v>
      </c>
      <c r="T21" s="1">
        <f t="shared" si="1"/>
        <v>16.079999999999998</v>
      </c>
      <c r="U21" s="1">
        <f t="shared" si="2"/>
        <v>16.11</v>
      </c>
      <c r="V21" s="1">
        <f t="shared" si="3"/>
        <v>16.11</v>
      </c>
      <c r="W21" s="1">
        <f t="shared" si="4"/>
        <v>1.1379786002407855E-15</v>
      </c>
      <c r="X21" s="1">
        <f t="shared" si="5"/>
        <v>3.0000000000001137E-2</v>
      </c>
      <c r="Y21" s="1">
        <f t="shared" si="6"/>
        <v>3.0000000000001137E-2</v>
      </c>
      <c r="Z21" s="1">
        <f t="shared" si="7"/>
        <v>16.079999999999998</v>
      </c>
      <c r="AA21" s="1">
        <f t="shared" si="8"/>
        <v>16.079999999999998</v>
      </c>
      <c r="AB21" s="1">
        <f t="shared" si="9"/>
        <v>16.11</v>
      </c>
      <c r="AC21" s="1">
        <v>15.521737999999999</v>
      </c>
      <c r="AD21" s="1">
        <v>8.7669999999999995</v>
      </c>
      <c r="AE21" s="1">
        <v>3.733644</v>
      </c>
      <c r="AF21" s="1">
        <v>2.2589999999999999</v>
      </c>
      <c r="AG21" s="1">
        <v>11.788093999999999</v>
      </c>
      <c r="AH21" s="1">
        <v>6.508</v>
      </c>
      <c r="AI21" s="1">
        <f t="shared" si="10"/>
        <v>4.1572624492319026</v>
      </c>
      <c r="AJ21">
        <f t="shared" si="11"/>
        <v>117.58891803470775</v>
      </c>
    </row>
    <row r="22" spans="1:36" x14ac:dyDescent="0.2">
      <c r="A22" s="1">
        <v>2628</v>
      </c>
      <c r="B22" s="1" t="s">
        <v>8</v>
      </c>
      <c r="C22" s="1" t="s">
        <v>9</v>
      </c>
      <c r="D22" s="1">
        <v>4.29</v>
      </c>
      <c r="E22" s="1">
        <v>6</v>
      </c>
      <c r="F22" s="1">
        <v>1.794</v>
      </c>
      <c r="G22" s="1">
        <v>0</v>
      </c>
      <c r="H22" s="1">
        <v>11.63</v>
      </c>
      <c r="I22" s="1">
        <v>96</v>
      </c>
      <c r="J22" s="1" t="s">
        <v>28</v>
      </c>
      <c r="K22" s="1">
        <v>3.72</v>
      </c>
      <c r="L22" s="1">
        <v>23</v>
      </c>
      <c r="M22" s="1">
        <v>0.87</v>
      </c>
      <c r="N22" s="1">
        <v>9</v>
      </c>
      <c r="O22" s="1">
        <v>0</v>
      </c>
      <c r="P22" s="1">
        <v>0</v>
      </c>
      <c r="Q22" s="1">
        <v>16.22</v>
      </c>
      <c r="R22" s="1" t="s">
        <v>28</v>
      </c>
      <c r="S22" s="1">
        <f t="shared" si="0"/>
        <v>4.5899999999999981</v>
      </c>
      <c r="T22" s="1">
        <f t="shared" si="1"/>
        <v>12.499999999999998</v>
      </c>
      <c r="U22" s="1">
        <f t="shared" si="2"/>
        <v>15.35</v>
      </c>
      <c r="V22" s="1">
        <f t="shared" si="3"/>
        <v>16.22</v>
      </c>
      <c r="W22" s="1">
        <f t="shared" si="4"/>
        <v>0.86999999999999789</v>
      </c>
      <c r="X22" s="1">
        <f t="shared" si="5"/>
        <v>3.719999999999998</v>
      </c>
      <c r="Y22" s="1">
        <f t="shared" si="6"/>
        <v>4.5899999999999981</v>
      </c>
      <c r="Z22" s="1">
        <f t="shared" si="7"/>
        <v>11.629999999999999</v>
      </c>
      <c r="AA22" s="1">
        <f t="shared" si="8"/>
        <v>12.499999999999998</v>
      </c>
      <c r="AB22" s="1">
        <f t="shared" si="9"/>
        <v>15.35</v>
      </c>
      <c r="AC22" s="1">
        <v>8.3652470000000001</v>
      </c>
      <c r="AD22" s="1">
        <v>4.8600000000000003</v>
      </c>
      <c r="AE22" s="1">
        <v>9.2394189999999998</v>
      </c>
      <c r="AF22" s="1">
        <v>5.5720000000000001</v>
      </c>
      <c r="AG22" s="1">
        <v>-0.87417199999999995</v>
      </c>
      <c r="AH22" s="1">
        <v>-0.71199999999999997</v>
      </c>
      <c r="AI22" s="1">
        <f t="shared" si="10"/>
        <v>0.90538669152248641</v>
      </c>
      <c r="AJ22">
        <f t="shared" si="11"/>
        <v>-3.499875775986939</v>
      </c>
    </row>
    <row r="23" spans="1:36" x14ac:dyDescent="0.2">
      <c r="A23" s="1">
        <v>237126</v>
      </c>
      <c r="B23" s="1" t="s">
        <v>8</v>
      </c>
      <c r="C23" s="1" t="s">
        <v>9</v>
      </c>
      <c r="D23" s="1">
        <v>4.1500000000000004</v>
      </c>
      <c r="E23" s="1">
        <v>10</v>
      </c>
      <c r="F23" s="1">
        <v>0</v>
      </c>
      <c r="G23" s="1">
        <v>0</v>
      </c>
      <c r="H23" s="1">
        <v>21.72</v>
      </c>
      <c r="I23" s="1">
        <v>149</v>
      </c>
      <c r="J23" s="1" t="s">
        <v>28</v>
      </c>
      <c r="K23" s="1">
        <v>2.08</v>
      </c>
      <c r="L23" s="1">
        <v>8</v>
      </c>
      <c r="M23" s="1">
        <v>0</v>
      </c>
      <c r="N23" s="1">
        <v>0</v>
      </c>
      <c r="O23" s="1">
        <v>0</v>
      </c>
      <c r="P23" s="1">
        <v>0</v>
      </c>
      <c r="Q23" s="1">
        <v>23.8</v>
      </c>
      <c r="R23" s="1" t="s">
        <v>28</v>
      </c>
      <c r="S23" s="1">
        <f t="shared" si="0"/>
        <v>2.0800000000000018</v>
      </c>
      <c r="T23" s="1">
        <f t="shared" si="1"/>
        <v>21.72</v>
      </c>
      <c r="U23" s="1">
        <f t="shared" si="2"/>
        <v>23.8</v>
      </c>
      <c r="V23" s="1">
        <f t="shared" si="3"/>
        <v>23.8</v>
      </c>
      <c r="W23" s="1">
        <f t="shared" si="4"/>
        <v>0</v>
      </c>
      <c r="X23" s="1">
        <f t="shared" si="5"/>
        <v>2.0800000000000018</v>
      </c>
      <c r="Y23" s="1">
        <f t="shared" si="6"/>
        <v>2.0800000000000018</v>
      </c>
      <c r="Z23" s="1">
        <f t="shared" si="7"/>
        <v>21.72</v>
      </c>
      <c r="AA23" s="1">
        <f t="shared" si="8"/>
        <v>21.72</v>
      </c>
      <c r="AB23" s="1">
        <f t="shared" si="9"/>
        <v>23.8</v>
      </c>
      <c r="AC23" s="1">
        <v>20.535121</v>
      </c>
      <c r="AD23" s="1">
        <v>12.468</v>
      </c>
      <c r="AE23" s="1">
        <v>12.16456</v>
      </c>
      <c r="AF23" s="1">
        <v>7.3369999999999997</v>
      </c>
      <c r="AG23" s="1">
        <v>8.3705610000000004</v>
      </c>
      <c r="AH23" s="1">
        <v>5.1310000000000002</v>
      </c>
      <c r="AI23" s="1">
        <f t="shared" si="10"/>
        <v>1.6881104618662739</v>
      </c>
      <c r="AJ23">
        <f t="shared" si="11"/>
        <v>17.347322568057322</v>
      </c>
    </row>
    <row r="24" spans="1:36" x14ac:dyDescent="0.2">
      <c r="A24" s="1">
        <v>279453</v>
      </c>
      <c r="B24" s="1" t="s">
        <v>8</v>
      </c>
      <c r="C24" s="1" t="s">
        <v>9</v>
      </c>
      <c r="D24" s="1">
        <v>4.4400000000000004</v>
      </c>
      <c r="E24" s="1">
        <v>9</v>
      </c>
      <c r="F24" s="1">
        <v>3.56</v>
      </c>
      <c r="G24" s="1">
        <v>0.12</v>
      </c>
      <c r="H24" s="1">
        <v>9.58</v>
      </c>
      <c r="I24" s="1">
        <v>101</v>
      </c>
      <c r="J24" s="1" t="s">
        <v>28</v>
      </c>
      <c r="K24" s="1">
        <v>11.2</v>
      </c>
      <c r="L24" s="1">
        <v>123</v>
      </c>
      <c r="M24" s="1">
        <v>0.68</v>
      </c>
      <c r="N24" s="1">
        <v>14</v>
      </c>
      <c r="O24" s="1">
        <v>3</v>
      </c>
      <c r="P24" s="1">
        <v>31</v>
      </c>
      <c r="Q24" s="1">
        <v>24.46</v>
      </c>
      <c r="R24" s="1" t="s">
        <v>28</v>
      </c>
      <c r="S24" s="1">
        <f t="shared" si="0"/>
        <v>14.88</v>
      </c>
      <c r="T24" s="1">
        <f t="shared" si="1"/>
        <v>13.260000000000002</v>
      </c>
      <c r="U24" s="1">
        <f t="shared" si="2"/>
        <v>23.78</v>
      </c>
      <c r="V24" s="1">
        <f t="shared" si="3"/>
        <v>21.46</v>
      </c>
      <c r="W24" s="1">
        <f t="shared" si="4"/>
        <v>3.6800000000000015</v>
      </c>
      <c r="X24" s="1">
        <f t="shared" si="5"/>
        <v>14.200000000000001</v>
      </c>
      <c r="Y24" s="1">
        <f t="shared" si="6"/>
        <v>11.88</v>
      </c>
      <c r="Z24" s="1">
        <f t="shared" si="7"/>
        <v>12.580000000000002</v>
      </c>
      <c r="AA24" s="1">
        <f t="shared" si="8"/>
        <v>10.260000000000002</v>
      </c>
      <c r="AB24" s="1">
        <f t="shared" si="9"/>
        <v>20.78</v>
      </c>
      <c r="AC24" s="1">
        <v>26.481071</v>
      </c>
      <c r="AD24" s="1">
        <v>15.971</v>
      </c>
      <c r="AE24" s="1">
        <v>10.298866</v>
      </c>
      <c r="AF24" s="1">
        <v>6.274</v>
      </c>
      <c r="AG24" s="1">
        <v>16.182205</v>
      </c>
      <c r="AH24" s="1">
        <v>9.6969999999999992</v>
      </c>
      <c r="AI24" s="1">
        <f t="shared" si="10"/>
        <v>2.571260855321353</v>
      </c>
      <c r="AJ24">
        <f t="shared" si="11"/>
        <v>38.542784676729831</v>
      </c>
    </row>
    <row r="25" spans="1:36" x14ac:dyDescent="0.2">
      <c r="A25" s="1">
        <v>7785</v>
      </c>
      <c r="B25" s="1" t="s">
        <v>7</v>
      </c>
      <c r="C25" s="1" t="s">
        <v>10</v>
      </c>
      <c r="D25" s="1">
        <v>3.88</v>
      </c>
      <c r="E25" s="1">
        <v>4</v>
      </c>
      <c r="F25" s="1">
        <v>0</v>
      </c>
      <c r="G25" s="1">
        <v>0</v>
      </c>
      <c r="H25" s="1">
        <v>24.081800000000001</v>
      </c>
      <c r="I25" s="1">
        <v>194</v>
      </c>
      <c r="J25" s="1" t="s">
        <v>28</v>
      </c>
      <c r="K25" s="1">
        <v>0.18579999999999999</v>
      </c>
      <c r="L25" s="1">
        <v>4</v>
      </c>
      <c r="M25" s="1">
        <v>2.0670999999999999</v>
      </c>
      <c r="N25" s="1">
        <v>39</v>
      </c>
      <c r="O25" s="1">
        <v>0.1855</v>
      </c>
      <c r="P25" s="1">
        <v>12</v>
      </c>
      <c r="Q25" s="1">
        <v>26.520199999999999</v>
      </c>
      <c r="R25" s="1" t="s">
        <v>28</v>
      </c>
      <c r="S25" s="1">
        <f t="shared" si="0"/>
        <v>2.4383999999999979</v>
      </c>
      <c r="T25" s="1">
        <f t="shared" si="1"/>
        <v>26.334399999999999</v>
      </c>
      <c r="U25" s="1">
        <f t="shared" si="2"/>
        <v>24.453099999999999</v>
      </c>
      <c r="V25" s="1">
        <f t="shared" si="3"/>
        <v>26.334699999999998</v>
      </c>
      <c r="W25" s="1">
        <f t="shared" si="4"/>
        <v>2.2525999999999979</v>
      </c>
      <c r="X25" s="1">
        <f t="shared" si="5"/>
        <v>0.37129999999999797</v>
      </c>
      <c r="Y25" s="1">
        <f t="shared" si="6"/>
        <v>2.2528999999999977</v>
      </c>
      <c r="Z25" s="1">
        <f t="shared" si="7"/>
        <v>24.267299999999999</v>
      </c>
      <c r="AA25" s="1">
        <f t="shared" si="8"/>
        <v>26.148899999999998</v>
      </c>
      <c r="AB25" s="1">
        <f t="shared" si="9"/>
        <v>24.267599999999998</v>
      </c>
      <c r="AC25" s="1">
        <v>12.441191</v>
      </c>
      <c r="AD25" s="1">
        <v>7.6289999999999996</v>
      </c>
      <c r="AE25" s="1">
        <v>5.7114500000000001</v>
      </c>
      <c r="AF25" s="1">
        <v>3.468</v>
      </c>
      <c r="AG25" s="1">
        <v>6.7297409999999998</v>
      </c>
      <c r="AH25" s="1">
        <v>4.1609999999999996</v>
      </c>
      <c r="AI25" s="1">
        <f t="shared" si="10"/>
        <v>2.1782894011153036</v>
      </c>
      <c r="AJ25">
        <f t="shared" si="11"/>
        <v>26.657930206754926</v>
      </c>
    </row>
    <row r="26" spans="1:36" x14ac:dyDescent="0.2">
      <c r="A26" s="1">
        <v>7334</v>
      </c>
      <c r="B26" s="1" t="s">
        <v>8</v>
      </c>
      <c r="C26" s="1" t="s">
        <v>10</v>
      </c>
      <c r="D26" s="1">
        <v>4.2</v>
      </c>
      <c r="E26" s="1">
        <v>4</v>
      </c>
      <c r="F26" s="1">
        <v>0.45</v>
      </c>
      <c r="G26" s="1">
        <v>0</v>
      </c>
      <c r="H26" s="1">
        <v>19.971299999999999</v>
      </c>
      <c r="I26" s="1">
        <v>161</v>
      </c>
      <c r="J26" s="1" t="s">
        <v>28</v>
      </c>
      <c r="K26" s="1">
        <v>4.0453000000000001</v>
      </c>
      <c r="L26" s="1">
        <v>72</v>
      </c>
      <c r="M26" s="1">
        <v>3.0583</v>
      </c>
      <c r="N26" s="1">
        <v>45</v>
      </c>
      <c r="O26" s="1">
        <v>0</v>
      </c>
      <c r="P26" s="1">
        <v>0</v>
      </c>
      <c r="Q26" s="1">
        <v>27.0749</v>
      </c>
      <c r="R26" s="1" t="s">
        <v>28</v>
      </c>
      <c r="S26" s="1">
        <f t="shared" si="0"/>
        <v>7.1036000000000001</v>
      </c>
      <c r="T26" s="1">
        <f t="shared" si="1"/>
        <v>23.029599999999999</v>
      </c>
      <c r="U26" s="1">
        <f t="shared" si="2"/>
        <v>24.0166</v>
      </c>
      <c r="V26" s="1">
        <f t="shared" si="3"/>
        <v>27.0749</v>
      </c>
      <c r="W26" s="1">
        <f t="shared" si="4"/>
        <v>3.0583</v>
      </c>
      <c r="X26" s="1">
        <f t="shared" si="5"/>
        <v>4.0453000000000001</v>
      </c>
      <c r="Y26" s="1">
        <f t="shared" si="6"/>
        <v>7.1036000000000001</v>
      </c>
      <c r="Z26" s="1">
        <f t="shared" si="7"/>
        <v>19.971299999999999</v>
      </c>
      <c r="AA26" s="1">
        <f t="shared" si="8"/>
        <v>23.029599999999999</v>
      </c>
      <c r="AB26" s="1">
        <f t="shared" si="9"/>
        <v>24.0166</v>
      </c>
      <c r="AC26" s="1">
        <v>13.961575</v>
      </c>
      <c r="AD26" s="1">
        <v>8.3640000000000008</v>
      </c>
      <c r="AE26" s="1">
        <v>9.2460489999999993</v>
      </c>
      <c r="AF26" s="1">
        <v>5.5759999999999996</v>
      </c>
      <c r="AG26" s="1">
        <v>4.7155259999999997</v>
      </c>
      <c r="AH26" s="1">
        <v>2.7879999999999998</v>
      </c>
      <c r="AI26" s="1">
        <f t="shared" si="10"/>
        <v>1.5100044354080322</v>
      </c>
      <c r="AJ26">
        <f t="shared" si="11"/>
        <v>11.302079093360245</v>
      </c>
    </row>
    <row r="27" spans="1:36" x14ac:dyDescent="0.2">
      <c r="A27" s="1">
        <v>7328</v>
      </c>
      <c r="B27" s="1" t="s">
        <v>7</v>
      </c>
      <c r="C27" s="1" t="s">
        <v>9</v>
      </c>
      <c r="D27" s="1">
        <v>4.01</v>
      </c>
      <c r="E27" s="1">
        <v>2</v>
      </c>
      <c r="F27" s="1">
        <v>5.016</v>
      </c>
      <c r="G27" s="1">
        <v>0</v>
      </c>
      <c r="H27" s="1">
        <v>7.4135999999999997</v>
      </c>
      <c r="I27" s="1">
        <v>70</v>
      </c>
      <c r="J27" s="1" t="s">
        <v>28</v>
      </c>
      <c r="K27" s="1">
        <v>5.9337999999999997</v>
      </c>
      <c r="L27" s="1">
        <v>68</v>
      </c>
      <c r="M27" s="1">
        <v>5.4169</v>
      </c>
      <c r="N27" s="1">
        <v>71</v>
      </c>
      <c r="O27" s="1">
        <v>16.849699999999999</v>
      </c>
      <c r="P27" s="1">
        <v>145</v>
      </c>
      <c r="Q27" s="1">
        <v>35.613999999999997</v>
      </c>
      <c r="R27" s="1" t="s">
        <v>28</v>
      </c>
      <c r="S27" s="1">
        <f t="shared" si="0"/>
        <v>28.200399999999998</v>
      </c>
      <c r="T27" s="1">
        <f t="shared" si="1"/>
        <v>29.680199999999999</v>
      </c>
      <c r="U27" s="1">
        <f t="shared" si="2"/>
        <v>30.197099999999999</v>
      </c>
      <c r="V27" s="1">
        <f t="shared" si="3"/>
        <v>18.764299999999999</v>
      </c>
      <c r="W27" s="1">
        <f t="shared" si="4"/>
        <v>22.266599999999997</v>
      </c>
      <c r="X27" s="1">
        <f t="shared" si="5"/>
        <v>22.783499999999997</v>
      </c>
      <c r="Y27" s="1">
        <f t="shared" si="6"/>
        <v>11.3507</v>
      </c>
      <c r="Z27" s="1">
        <f t="shared" si="7"/>
        <v>24.263300000000001</v>
      </c>
      <c r="AA27" s="1">
        <f t="shared" si="8"/>
        <v>12.830500000000001</v>
      </c>
      <c r="AB27" s="1">
        <f t="shared" si="9"/>
        <v>13.3474</v>
      </c>
      <c r="AC27" s="1">
        <v>25.127376999999999</v>
      </c>
      <c r="AD27" s="1">
        <v>13.989000000000001</v>
      </c>
      <c r="AE27" s="1">
        <v>4.5499720000000003</v>
      </c>
      <c r="AF27" s="1">
        <v>2.7989999999999999</v>
      </c>
      <c r="AG27" s="1">
        <v>20.577404999999999</v>
      </c>
      <c r="AH27" s="1">
        <v>11.19</v>
      </c>
      <c r="AI27" s="1">
        <f t="shared" si="10"/>
        <v>5.5225344243876657</v>
      </c>
      <c r="AJ27">
        <f t="shared" si="11"/>
        <v>76.192526945375405</v>
      </c>
    </row>
    <row r="28" spans="1:36" x14ac:dyDescent="0.2">
      <c r="A28" s="1">
        <v>9561</v>
      </c>
      <c r="B28" s="1" t="s">
        <v>8</v>
      </c>
      <c r="C28" s="1" t="s">
        <v>9</v>
      </c>
      <c r="D28" s="1">
        <v>4.4400000000000004</v>
      </c>
      <c r="E28" s="1">
        <v>5</v>
      </c>
      <c r="F28" s="1">
        <v>5.8390000000000004</v>
      </c>
      <c r="G28" s="1">
        <v>0</v>
      </c>
      <c r="H28" s="1">
        <v>29.61</v>
      </c>
      <c r="I28" s="1">
        <v>336</v>
      </c>
      <c r="J28" s="1" t="s">
        <v>28</v>
      </c>
      <c r="K28" s="1">
        <v>9.01</v>
      </c>
      <c r="L28" s="1">
        <v>43</v>
      </c>
      <c r="M28" s="1">
        <v>0.08</v>
      </c>
      <c r="N28" s="1">
        <v>1</v>
      </c>
      <c r="O28" s="1">
        <v>0</v>
      </c>
      <c r="P28" s="1">
        <v>0</v>
      </c>
      <c r="Q28" s="1">
        <v>38.700000000000003</v>
      </c>
      <c r="R28" s="1" t="s">
        <v>28</v>
      </c>
      <c r="S28" s="1">
        <f t="shared" si="0"/>
        <v>9.0900000000000034</v>
      </c>
      <c r="T28" s="1">
        <f t="shared" si="1"/>
        <v>29.690000000000005</v>
      </c>
      <c r="U28" s="1">
        <f t="shared" si="2"/>
        <v>38.620000000000005</v>
      </c>
      <c r="V28" s="1">
        <f t="shared" si="3"/>
        <v>38.700000000000003</v>
      </c>
      <c r="W28" s="1">
        <f t="shared" si="4"/>
        <v>8.0000000000003624E-2</v>
      </c>
      <c r="X28" s="1">
        <f t="shared" si="5"/>
        <v>9.0100000000000033</v>
      </c>
      <c r="Y28" s="1">
        <f t="shared" si="6"/>
        <v>9.0900000000000034</v>
      </c>
      <c r="Z28" s="1">
        <f t="shared" si="7"/>
        <v>29.610000000000007</v>
      </c>
      <c r="AA28" s="1">
        <f t="shared" si="8"/>
        <v>29.690000000000005</v>
      </c>
      <c r="AB28" s="1">
        <f t="shared" si="9"/>
        <v>38.620000000000005</v>
      </c>
      <c r="AC28" s="1">
        <v>11.509575</v>
      </c>
      <c r="AD28" s="1">
        <v>6.9880000000000004</v>
      </c>
      <c r="AE28" s="1">
        <v>5.8326659999999997</v>
      </c>
      <c r="AF28" s="1">
        <v>3.4940000000000002</v>
      </c>
      <c r="AG28" s="1">
        <v>5.6769090000000002</v>
      </c>
      <c r="AH28" s="1">
        <v>3.4940000000000002</v>
      </c>
      <c r="AI28" s="1">
        <f t="shared" si="10"/>
        <v>1.9732957450332318</v>
      </c>
      <c r="AJ28">
        <f t="shared" si="11"/>
        <v>15.089856512143129</v>
      </c>
    </row>
    <row r="29" spans="1:36" x14ac:dyDescent="0.2">
      <c r="A29" s="1">
        <v>249257</v>
      </c>
      <c r="B29" s="1" t="s">
        <v>8</v>
      </c>
      <c r="C29" s="1" t="s">
        <v>9</v>
      </c>
      <c r="D29" s="1">
        <v>4.88</v>
      </c>
      <c r="E29" s="1">
        <v>10</v>
      </c>
      <c r="F29" s="1">
        <v>3.34</v>
      </c>
      <c r="G29" s="1">
        <v>0</v>
      </c>
      <c r="H29" s="1">
        <v>22.76</v>
      </c>
      <c r="I29" s="1">
        <v>158</v>
      </c>
      <c r="J29" s="1" t="s">
        <v>28</v>
      </c>
      <c r="K29" s="1">
        <v>11.47</v>
      </c>
      <c r="L29" s="1">
        <v>47</v>
      </c>
      <c r="M29" s="1">
        <v>5.82</v>
      </c>
      <c r="N29" s="1">
        <v>62</v>
      </c>
      <c r="O29" s="1">
        <v>0</v>
      </c>
      <c r="P29" s="1">
        <v>0</v>
      </c>
      <c r="Q29" s="1">
        <v>40.049999999999997</v>
      </c>
      <c r="R29" s="1" t="s">
        <v>28</v>
      </c>
      <c r="S29" s="1">
        <f t="shared" si="0"/>
        <v>17.289999999999996</v>
      </c>
      <c r="T29" s="1">
        <f t="shared" si="1"/>
        <v>28.58</v>
      </c>
      <c r="U29" s="1">
        <f t="shared" si="2"/>
        <v>34.229999999999997</v>
      </c>
      <c r="V29" s="1">
        <f t="shared" si="3"/>
        <v>40.049999999999997</v>
      </c>
      <c r="W29" s="1">
        <f t="shared" si="4"/>
        <v>5.819999999999995</v>
      </c>
      <c r="X29" s="1">
        <f t="shared" si="5"/>
        <v>11.469999999999995</v>
      </c>
      <c r="Y29" s="1">
        <f t="shared" si="6"/>
        <v>17.289999999999996</v>
      </c>
      <c r="Z29" s="1">
        <f t="shared" si="7"/>
        <v>22.759999999999998</v>
      </c>
      <c r="AA29" s="1">
        <f t="shared" si="8"/>
        <v>28.58</v>
      </c>
      <c r="AB29" s="1">
        <f t="shared" si="9"/>
        <v>34.229999999999997</v>
      </c>
      <c r="AC29" s="1">
        <v>38.892471</v>
      </c>
      <c r="AD29" s="1">
        <v>23.378</v>
      </c>
      <c r="AE29" s="1">
        <v>16.293272999999999</v>
      </c>
      <c r="AF29" s="1">
        <v>9.9250000000000007</v>
      </c>
      <c r="AG29" s="1">
        <v>22.599198000000001</v>
      </c>
      <c r="AH29" s="1">
        <v>13.452999999999999</v>
      </c>
      <c r="AI29" s="1">
        <f t="shared" si="10"/>
        <v>2.3870262899295924</v>
      </c>
      <c r="AJ29">
        <f t="shared" si="11"/>
        <v>20.779420073851579</v>
      </c>
    </row>
    <row r="30" spans="1:36" x14ac:dyDescent="0.2">
      <c r="A30" s="1">
        <v>279551</v>
      </c>
      <c r="B30" s="1" t="s">
        <v>8</v>
      </c>
      <c r="C30" s="1" t="s">
        <v>9</v>
      </c>
      <c r="D30" s="1">
        <v>4.7300000000000004</v>
      </c>
      <c r="E30" s="1">
        <v>8</v>
      </c>
      <c r="F30" s="1">
        <v>5.18</v>
      </c>
      <c r="G30" s="1">
        <v>0</v>
      </c>
      <c r="H30" s="1">
        <v>2.14</v>
      </c>
      <c r="I30" s="1">
        <v>23</v>
      </c>
      <c r="J30" s="1" t="s">
        <v>28</v>
      </c>
      <c r="K30" s="1">
        <v>18.86</v>
      </c>
      <c r="L30" s="1">
        <v>174</v>
      </c>
      <c r="M30" s="1">
        <v>4.8099999999999996</v>
      </c>
      <c r="N30" s="1">
        <v>101</v>
      </c>
      <c r="O30" s="1">
        <v>15.86</v>
      </c>
      <c r="P30" s="1">
        <v>95</v>
      </c>
      <c r="Q30" s="1">
        <v>41.67</v>
      </c>
      <c r="R30" s="1" t="s">
        <v>28</v>
      </c>
      <c r="S30" s="1">
        <f t="shared" si="0"/>
        <v>39.53</v>
      </c>
      <c r="T30" s="1">
        <f t="shared" si="1"/>
        <v>22.810000000000002</v>
      </c>
      <c r="U30" s="1">
        <f t="shared" si="2"/>
        <v>36.86</v>
      </c>
      <c r="V30" s="1">
        <f t="shared" si="3"/>
        <v>25.810000000000002</v>
      </c>
      <c r="W30" s="1">
        <f t="shared" si="4"/>
        <v>20.67</v>
      </c>
      <c r="X30" s="1">
        <f t="shared" si="5"/>
        <v>34.72</v>
      </c>
      <c r="Y30" s="1">
        <f t="shared" si="6"/>
        <v>23.67</v>
      </c>
      <c r="Z30" s="1">
        <f t="shared" si="7"/>
        <v>18.000000000000004</v>
      </c>
      <c r="AA30" s="1">
        <f t="shared" si="8"/>
        <v>6.9500000000000028</v>
      </c>
      <c r="AB30" s="1">
        <f t="shared" si="9"/>
        <v>21</v>
      </c>
      <c r="AC30" s="1">
        <v>31.387080000000001</v>
      </c>
      <c r="AD30" s="1">
        <v>18.867000000000001</v>
      </c>
      <c r="AE30" s="1">
        <v>9.2747039999999998</v>
      </c>
      <c r="AF30" s="1">
        <v>5.5940000000000003</v>
      </c>
      <c r="AG30" s="1">
        <v>22.112376000000001</v>
      </c>
      <c r="AH30" s="1">
        <v>13.273</v>
      </c>
      <c r="AI30" s="1">
        <f t="shared" si="10"/>
        <v>3.3841597532384862</v>
      </c>
      <c r="AJ30">
        <f t="shared" si="11"/>
        <v>34.329154114305055</v>
      </c>
    </row>
    <row r="31" spans="1:36" x14ac:dyDescent="0.2">
      <c r="A31" s="1">
        <v>6978</v>
      </c>
      <c r="B31" s="1" t="s">
        <v>8</v>
      </c>
      <c r="C31" s="1" t="s">
        <v>10</v>
      </c>
      <c r="D31" s="1">
        <v>3.61</v>
      </c>
      <c r="E31" s="1">
        <v>6</v>
      </c>
      <c r="F31" s="1">
        <v>3.2389999999999999</v>
      </c>
      <c r="G31" s="1">
        <v>0</v>
      </c>
      <c r="H31" s="1">
        <v>69.17</v>
      </c>
      <c r="I31" s="1">
        <v>647</v>
      </c>
      <c r="J31" s="1" t="s">
        <v>28</v>
      </c>
      <c r="K31" s="1">
        <v>5.0199999999999996</v>
      </c>
      <c r="L31" s="1">
        <v>21</v>
      </c>
      <c r="M31" s="1">
        <v>1.51</v>
      </c>
      <c r="N31" s="1">
        <v>21</v>
      </c>
      <c r="O31" s="1">
        <v>0.11</v>
      </c>
      <c r="P31" s="1">
        <v>3</v>
      </c>
      <c r="Q31" s="1">
        <v>75.81</v>
      </c>
      <c r="R31" s="1" t="s">
        <v>28</v>
      </c>
      <c r="S31" s="1">
        <f t="shared" si="0"/>
        <v>6.6400000000000006</v>
      </c>
      <c r="T31" s="1">
        <f t="shared" si="1"/>
        <v>70.790000000000006</v>
      </c>
      <c r="U31" s="1">
        <f t="shared" si="2"/>
        <v>74.3</v>
      </c>
      <c r="V31" s="1">
        <f t="shared" si="3"/>
        <v>75.7</v>
      </c>
      <c r="W31" s="1">
        <f t="shared" si="4"/>
        <v>1.620000000000001</v>
      </c>
      <c r="X31" s="1">
        <f t="shared" si="5"/>
        <v>5.1300000000000008</v>
      </c>
      <c r="Y31" s="1">
        <f t="shared" si="6"/>
        <v>6.53</v>
      </c>
      <c r="Z31" s="1">
        <f t="shared" si="7"/>
        <v>69.28</v>
      </c>
      <c r="AA31" s="1">
        <f t="shared" si="8"/>
        <v>70.680000000000007</v>
      </c>
      <c r="AB31" s="1">
        <f t="shared" si="9"/>
        <v>74.19</v>
      </c>
      <c r="AC31" s="1">
        <v>12.704841999999999</v>
      </c>
      <c r="AD31" s="1">
        <v>7.6879999999999997</v>
      </c>
      <c r="AE31" s="1">
        <v>4.2618869999999998</v>
      </c>
      <c r="AF31" s="1">
        <v>3.5070000000000001</v>
      </c>
      <c r="AG31" s="1">
        <v>8.4429549999999995</v>
      </c>
      <c r="AH31" s="1">
        <v>4.181</v>
      </c>
      <c r="AI31" s="1">
        <f t="shared" si="10"/>
        <v>2.9810368036505897</v>
      </c>
      <c r="AJ31">
        <f t="shared" si="11"/>
        <v>15.678961643455398</v>
      </c>
    </row>
    <row r="32" spans="1:36" x14ac:dyDescent="0.2">
      <c r="A32" s="1">
        <v>9432</v>
      </c>
      <c r="B32" s="1" t="s">
        <v>7</v>
      </c>
      <c r="C32" s="1" t="s">
        <v>9</v>
      </c>
      <c r="D32" s="1">
        <v>4.71</v>
      </c>
      <c r="E32" s="1">
        <v>7</v>
      </c>
      <c r="F32" s="1">
        <v>5.8369999999999997</v>
      </c>
      <c r="G32" s="1">
        <v>0</v>
      </c>
      <c r="H32" s="1">
        <v>58.66</v>
      </c>
      <c r="I32" s="1">
        <v>526</v>
      </c>
      <c r="J32" s="1" t="s">
        <v>28</v>
      </c>
      <c r="K32" s="1">
        <v>31.38</v>
      </c>
      <c r="L32" s="1">
        <v>114</v>
      </c>
      <c r="M32" s="1">
        <v>8.8699999999999992</v>
      </c>
      <c r="N32" s="1">
        <v>149</v>
      </c>
      <c r="O32" s="1">
        <v>0.16</v>
      </c>
      <c r="P32" s="1">
        <v>1</v>
      </c>
      <c r="Q32" s="1">
        <v>99.07</v>
      </c>
      <c r="R32" s="1" t="s">
        <v>28</v>
      </c>
      <c r="S32" s="1">
        <f t="shared" si="0"/>
        <v>40.409999999999997</v>
      </c>
      <c r="T32" s="1">
        <f t="shared" si="1"/>
        <v>67.69</v>
      </c>
      <c r="U32" s="1">
        <f t="shared" si="2"/>
        <v>90.199999999999989</v>
      </c>
      <c r="V32" s="1">
        <f t="shared" si="3"/>
        <v>98.91</v>
      </c>
      <c r="W32" s="1">
        <f t="shared" si="4"/>
        <v>9.0299999999999976</v>
      </c>
      <c r="X32" s="1">
        <f t="shared" si="5"/>
        <v>31.54</v>
      </c>
      <c r="Y32" s="1">
        <f t="shared" si="6"/>
        <v>40.25</v>
      </c>
      <c r="Z32" s="1">
        <f t="shared" si="7"/>
        <v>58.82</v>
      </c>
      <c r="AA32" s="1">
        <f t="shared" si="8"/>
        <v>67.53</v>
      </c>
      <c r="AB32" s="1">
        <f t="shared" si="9"/>
        <v>90.039999999999992</v>
      </c>
      <c r="AC32" s="1">
        <v>30.127669999999998</v>
      </c>
      <c r="AD32" s="1">
        <v>18.170000000000002</v>
      </c>
      <c r="AE32" s="1">
        <v>5.7928389999999998</v>
      </c>
      <c r="AF32" s="1">
        <v>3.5049999999999999</v>
      </c>
      <c r="AG32" s="1">
        <v>24.334831000000001</v>
      </c>
      <c r="AH32" s="1">
        <v>14.664999999999999</v>
      </c>
      <c r="AI32" s="1">
        <f t="shared" si="10"/>
        <v>5.2008471148602613</v>
      </c>
      <c r="AJ32">
        <f t="shared" si="11"/>
        <v>25.441690409974331</v>
      </c>
    </row>
    <row r="33" spans="1:36" x14ac:dyDescent="0.2">
      <c r="A33" s="1">
        <v>206443</v>
      </c>
      <c r="B33" s="1" t="s">
        <v>7</v>
      </c>
      <c r="C33" s="1" t="s">
        <v>9</v>
      </c>
      <c r="D33" s="1">
        <v>4.66</v>
      </c>
      <c r="E33" s="1">
        <v>11</v>
      </c>
      <c r="F33" s="1">
        <v>2.4900000000000002</v>
      </c>
      <c r="G33" s="1">
        <v>0</v>
      </c>
      <c r="H33" s="1">
        <v>80.41</v>
      </c>
      <c r="I33" s="1">
        <v>687</v>
      </c>
      <c r="J33" s="1" t="s">
        <v>28</v>
      </c>
      <c r="K33" s="1">
        <v>5.73</v>
      </c>
      <c r="L33" s="1">
        <v>29</v>
      </c>
      <c r="M33" s="1">
        <v>11.68</v>
      </c>
      <c r="N33" s="1">
        <v>249</v>
      </c>
      <c r="O33" s="1">
        <v>1.66</v>
      </c>
      <c r="P33" s="1">
        <v>13</v>
      </c>
      <c r="Q33" s="1">
        <v>99.48</v>
      </c>
      <c r="R33" s="1" t="s">
        <v>28</v>
      </c>
      <c r="S33" s="1">
        <f t="shared" si="0"/>
        <v>19.070000000000007</v>
      </c>
      <c r="T33" s="1">
        <f t="shared" si="1"/>
        <v>93.75</v>
      </c>
      <c r="U33" s="1">
        <f t="shared" si="2"/>
        <v>87.800000000000011</v>
      </c>
      <c r="V33" s="1">
        <f t="shared" si="3"/>
        <v>97.820000000000007</v>
      </c>
      <c r="W33" s="1">
        <f t="shared" si="4"/>
        <v>13.340000000000007</v>
      </c>
      <c r="X33" s="1">
        <f t="shared" si="5"/>
        <v>7.3900000000000077</v>
      </c>
      <c r="Y33" s="1">
        <f t="shared" si="6"/>
        <v>17.410000000000007</v>
      </c>
      <c r="Z33" s="1">
        <f t="shared" si="7"/>
        <v>82.07</v>
      </c>
      <c r="AA33" s="1">
        <f t="shared" si="8"/>
        <v>92.09</v>
      </c>
      <c r="AB33" s="1">
        <f t="shared" si="9"/>
        <v>86.140000000000015</v>
      </c>
      <c r="AC33" s="1">
        <v>20.651992</v>
      </c>
      <c r="AD33" s="1">
        <v>12.414</v>
      </c>
      <c r="AE33" s="1">
        <v>3.550551</v>
      </c>
      <c r="AF33" s="1">
        <v>2.1920000000000002</v>
      </c>
      <c r="AG33" s="1">
        <v>17.101441000000001</v>
      </c>
      <c r="AH33" s="1">
        <v>10.222</v>
      </c>
      <c r="AI33" s="1">
        <f t="shared" si="10"/>
        <v>5.8165597396009803</v>
      </c>
      <c r="AJ33">
        <f t="shared" si="11"/>
        <v>29.050420624855132</v>
      </c>
    </row>
    <row r="34" spans="1:36" x14ac:dyDescent="0.2">
      <c r="A34" s="1">
        <v>9807</v>
      </c>
      <c r="B34" s="1" t="s">
        <v>8</v>
      </c>
      <c r="C34" s="1" t="s">
        <v>9</v>
      </c>
      <c r="D34" s="1">
        <v>4.95</v>
      </c>
      <c r="E34" s="1">
        <v>4</v>
      </c>
      <c r="F34" s="1">
        <v>6.1479999999999997</v>
      </c>
      <c r="G34" s="1">
        <v>0</v>
      </c>
      <c r="H34" s="1">
        <v>81.524799999999999</v>
      </c>
      <c r="I34" s="1">
        <v>1239</v>
      </c>
      <c r="J34" s="1" t="s">
        <v>28</v>
      </c>
      <c r="K34" s="1">
        <v>2.9184000000000001</v>
      </c>
      <c r="L34" s="1">
        <v>33</v>
      </c>
      <c r="M34" s="1">
        <v>15.917899999999999</v>
      </c>
      <c r="N34" s="1">
        <v>244</v>
      </c>
      <c r="O34" s="1">
        <v>3.6114000000000002</v>
      </c>
      <c r="P34" s="1">
        <v>29</v>
      </c>
      <c r="Q34" s="1">
        <v>103.9725</v>
      </c>
      <c r="R34" s="1" t="s">
        <v>28</v>
      </c>
      <c r="S34" s="1">
        <f t="shared" si="0"/>
        <v>22.447699999999998</v>
      </c>
      <c r="T34" s="1">
        <f t="shared" si="1"/>
        <v>101.05409999999999</v>
      </c>
      <c r="U34" s="1">
        <f t="shared" si="2"/>
        <v>88.054599999999994</v>
      </c>
      <c r="V34" s="1">
        <f t="shared" si="3"/>
        <v>100.36109999999999</v>
      </c>
      <c r="W34" s="1">
        <f t="shared" si="4"/>
        <v>19.529299999999999</v>
      </c>
      <c r="X34" s="1">
        <f t="shared" si="5"/>
        <v>6.5297999999999981</v>
      </c>
      <c r="Y34" s="1">
        <f t="shared" si="6"/>
        <v>18.836299999999998</v>
      </c>
      <c r="Z34" s="1">
        <f t="shared" si="7"/>
        <v>85.136199999999988</v>
      </c>
      <c r="AA34" s="1">
        <f t="shared" si="8"/>
        <v>97.442699999999988</v>
      </c>
      <c r="AB34" s="1">
        <f t="shared" si="9"/>
        <v>84.44319999999999</v>
      </c>
      <c r="AC34" s="1">
        <v>25.715197</v>
      </c>
      <c r="AD34" s="1">
        <v>15.509</v>
      </c>
      <c r="AE34" s="1">
        <v>8.0367949999999997</v>
      </c>
      <c r="AF34" s="1">
        <v>4.9119999999999999</v>
      </c>
      <c r="AG34" s="1">
        <v>17.678401999999998</v>
      </c>
      <c r="AH34" s="1">
        <v>10.597</v>
      </c>
      <c r="AI34" s="1">
        <f t="shared" si="10"/>
        <v>3.1996830826218661</v>
      </c>
      <c r="AJ34">
        <f t="shared" si="11"/>
        <v>12.693835865956091</v>
      </c>
    </row>
    <row r="35" spans="1:36" x14ac:dyDescent="0.2">
      <c r="A35" s="1">
        <v>237495</v>
      </c>
      <c r="B35" s="1" t="s">
        <v>7</v>
      </c>
      <c r="C35" s="1" t="s">
        <v>10</v>
      </c>
      <c r="D35" s="1">
        <v>3.85</v>
      </c>
      <c r="E35" s="1">
        <v>9</v>
      </c>
      <c r="F35" s="1">
        <v>4</v>
      </c>
      <c r="G35" s="1">
        <v>0</v>
      </c>
      <c r="H35" s="1">
        <v>71.91</v>
      </c>
      <c r="I35" s="1">
        <v>573</v>
      </c>
      <c r="J35" s="1" t="s">
        <v>28</v>
      </c>
      <c r="K35" s="1">
        <v>31.78</v>
      </c>
      <c r="L35" s="1">
        <v>117</v>
      </c>
      <c r="M35" s="1">
        <v>1.8</v>
      </c>
      <c r="N35" s="1">
        <v>34</v>
      </c>
      <c r="O35" s="1">
        <v>1.1100000000000001</v>
      </c>
      <c r="P35" s="1">
        <v>11</v>
      </c>
      <c r="Q35" s="1">
        <v>106.6</v>
      </c>
      <c r="R35" s="1" t="s">
        <v>28</v>
      </c>
      <c r="S35" s="1">
        <f t="shared" si="0"/>
        <v>34.69</v>
      </c>
      <c r="T35" s="1">
        <f t="shared" si="1"/>
        <v>74.819999999999993</v>
      </c>
      <c r="U35" s="1">
        <f t="shared" si="2"/>
        <v>104.8</v>
      </c>
      <c r="V35" s="1">
        <f t="shared" si="3"/>
        <v>105.49</v>
      </c>
      <c r="W35" s="1">
        <f t="shared" si="4"/>
        <v>2.9099999999999966</v>
      </c>
      <c r="X35" s="1">
        <f t="shared" si="5"/>
        <v>32.89</v>
      </c>
      <c r="Y35" s="1">
        <f t="shared" si="6"/>
        <v>33.58</v>
      </c>
      <c r="Z35" s="1">
        <f t="shared" si="7"/>
        <v>73.02</v>
      </c>
      <c r="AA35" s="1">
        <f t="shared" si="8"/>
        <v>73.709999999999994</v>
      </c>
      <c r="AB35" s="1">
        <f t="shared" si="9"/>
        <v>103.69</v>
      </c>
      <c r="AC35" s="1">
        <v>21.882245000000001</v>
      </c>
      <c r="AD35" s="1">
        <v>13.198</v>
      </c>
      <c r="AE35" s="1">
        <v>2.2966709999999999</v>
      </c>
      <c r="AF35" s="1">
        <v>1.39</v>
      </c>
      <c r="AG35" s="1">
        <v>19.585574000000001</v>
      </c>
      <c r="AH35" s="1">
        <v>11.808</v>
      </c>
      <c r="AI35" s="1">
        <f t="shared" si="10"/>
        <v>9.5278100346109653</v>
      </c>
      <c r="AJ35">
        <f t="shared" si="11"/>
        <v>47.998930776421957</v>
      </c>
    </row>
    <row r="36" spans="1:36" x14ac:dyDescent="0.2">
      <c r="A36" s="1">
        <v>237213</v>
      </c>
      <c r="B36" s="1" t="s">
        <v>7</v>
      </c>
      <c r="C36" s="1" t="s">
        <v>10</v>
      </c>
      <c r="D36" s="1">
        <v>3.64</v>
      </c>
      <c r="E36" s="1">
        <v>9</v>
      </c>
      <c r="F36" s="1">
        <v>6.45</v>
      </c>
      <c r="G36" s="1">
        <v>0</v>
      </c>
      <c r="H36" s="1">
        <v>38.96</v>
      </c>
      <c r="I36" s="1">
        <v>353</v>
      </c>
      <c r="J36" s="1" t="s">
        <v>28</v>
      </c>
      <c r="K36" s="1">
        <v>24.58</v>
      </c>
      <c r="L36" s="1">
        <v>151</v>
      </c>
      <c r="M36" s="1">
        <v>10.66</v>
      </c>
      <c r="N36" s="1">
        <v>170</v>
      </c>
      <c r="O36" s="1">
        <v>51.22</v>
      </c>
      <c r="P36" s="1">
        <v>468</v>
      </c>
      <c r="Q36" s="1">
        <v>125.42</v>
      </c>
      <c r="R36" s="1" t="s">
        <v>28</v>
      </c>
      <c r="S36" s="1">
        <f t="shared" si="0"/>
        <v>86.460000000000008</v>
      </c>
      <c r="T36" s="1">
        <f t="shared" si="1"/>
        <v>100.84</v>
      </c>
      <c r="U36" s="1">
        <f t="shared" si="2"/>
        <v>114.76</v>
      </c>
      <c r="V36" s="1">
        <f t="shared" si="3"/>
        <v>74.2</v>
      </c>
      <c r="W36" s="1">
        <f t="shared" si="4"/>
        <v>61.88000000000001</v>
      </c>
      <c r="X36" s="1">
        <f t="shared" si="5"/>
        <v>75.800000000000011</v>
      </c>
      <c r="Y36" s="1">
        <f t="shared" si="6"/>
        <v>35.240000000000009</v>
      </c>
      <c r="Z36" s="1">
        <f t="shared" si="7"/>
        <v>90.18</v>
      </c>
      <c r="AA36" s="1">
        <f t="shared" si="8"/>
        <v>49.620000000000005</v>
      </c>
      <c r="AB36" s="1">
        <f t="shared" si="9"/>
        <v>63.540000000000006</v>
      </c>
      <c r="AC36" s="1">
        <v>14.922319999999999</v>
      </c>
      <c r="AD36" s="1">
        <v>9.0299999999999994</v>
      </c>
      <c r="AE36" s="1">
        <v>6.9349999999999996</v>
      </c>
      <c r="AF36" s="1">
        <v>4.1689999999999996</v>
      </c>
      <c r="AG36" s="1">
        <v>7.9873200000000004</v>
      </c>
      <c r="AH36" s="1">
        <v>4.8609999999999998</v>
      </c>
      <c r="AI36" s="1">
        <f t="shared" si="10"/>
        <v>2.1517404470079309</v>
      </c>
      <c r="AJ36">
        <f t="shared" si="11"/>
        <v>5.5098410796105766</v>
      </c>
    </row>
  </sheetData>
  <sortState xmlns:xlrd2="http://schemas.microsoft.com/office/spreadsheetml/2017/richdata2" ref="A2:AH36">
    <sortCondition ref="Q1:Q36"/>
  </sortState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Gloriana</cp:lastModifiedBy>
  <dcterms:created xsi:type="dcterms:W3CDTF">2021-04-09T17:39:19Z</dcterms:created>
  <dcterms:modified xsi:type="dcterms:W3CDTF">2021-04-14T23:35:40Z</dcterms:modified>
</cp:coreProperties>
</file>